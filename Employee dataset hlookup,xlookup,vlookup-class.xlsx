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 Analysis/excel/class copy/"/>
    </mc:Choice>
  </mc:AlternateContent>
  <xr:revisionPtr revIDLastSave="168" documentId="8_{D385A448-0663-4E21-90E8-38504094C831}" xr6:coauthVersionLast="47" xr6:coauthVersionMax="47" xr10:uidLastSave="{E0ADF450-BEB4-4C41-ABFC-EFF7CC4A8C8F}"/>
  <bookViews>
    <workbookView xWindow="-108" yWindow="-108" windowWidth="23256" windowHeight="13896" firstSheet="3" activeTab="3" xr2:uid="{00000000-000D-0000-FFFF-FFFF00000000}"/>
  </bookViews>
  <sheets>
    <sheet name="Data" sheetId="2" r:id="rId1"/>
    <sheet name="date and time" sheetId="1" r:id="rId2"/>
    <sheet name="hlookup" sheetId="6" r:id="rId3"/>
    <sheet name="vlookup" sheetId="4" r:id="rId4"/>
    <sheet name="xlookup" sheetId="5" r:id="rId5"/>
    <sheet name="index and match" sheetId="3" r:id="rId6"/>
  </sheets>
  <definedNames>
    <definedName name="_xlnm._FilterDatabase" localSheetId="0" hidden="1">Data!$A$6:$D$6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5" l="1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C11" i="6"/>
  <c r="C12" i="6"/>
  <c r="C13" i="6"/>
  <c r="C14" i="6"/>
  <c r="P17" i="1"/>
  <c r="P16" i="1"/>
  <c r="P27" i="1"/>
  <c r="P10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F26" i="1"/>
  <c r="F32" i="1"/>
  <c r="F21" i="1"/>
  <c r="C32" i="1"/>
  <c r="C34" i="1"/>
  <c r="C33" i="1"/>
  <c r="C3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2" i="1"/>
  <c r="F23" i="1"/>
  <c r="F24" i="1"/>
  <c r="F25" i="1"/>
  <c r="P8" i="1"/>
  <c r="P13" i="1" l="1"/>
  <c r="P11" i="1"/>
  <c r="P12" i="1"/>
  <c r="P19" i="1"/>
  <c r="P18" i="1"/>
  <c r="Q17" i="1"/>
  <c r="P15" i="1"/>
  <c r="P14" i="1"/>
</calcChain>
</file>

<file path=xl/sharedStrings.xml><?xml version="1.0" encoding="utf-8"?>
<sst xmlns="http://schemas.openxmlformats.org/spreadsheetml/2006/main" count="615" uniqueCount="157">
  <si>
    <t>EmployeeID</t>
  </si>
  <si>
    <t>SKU</t>
  </si>
  <si>
    <t>Name</t>
  </si>
  <si>
    <t>DeptCode</t>
  </si>
  <si>
    <t>JoinDate</t>
  </si>
  <si>
    <t>BirthDate</t>
  </si>
  <si>
    <t>LastLogin</t>
  </si>
  <si>
    <t>BaseSalary</t>
  </si>
  <si>
    <t>PerformanceScore</t>
  </si>
  <si>
    <t>E101</t>
  </si>
  <si>
    <t>P100</t>
  </si>
  <si>
    <t>John Smith</t>
  </si>
  <si>
    <t>SLS</t>
  </si>
  <si>
    <t>2019-05-10</t>
  </si>
  <si>
    <t>1991-04-15</t>
  </si>
  <si>
    <t>E102</t>
  </si>
  <si>
    <t>P101</t>
  </si>
  <si>
    <t>Anna Lee</t>
  </si>
  <si>
    <t>HR</t>
  </si>
  <si>
    <t>2018-03-14</t>
  </si>
  <si>
    <t>1988-10-22</t>
  </si>
  <si>
    <t>E103</t>
  </si>
  <si>
    <t>P102</t>
  </si>
  <si>
    <t>Raj Kumar</t>
  </si>
  <si>
    <t>IT</t>
  </si>
  <si>
    <t>2020-07-21</t>
  </si>
  <si>
    <t>1994-02-11</t>
  </si>
  <si>
    <t>E104</t>
  </si>
  <si>
    <t>Maria Jose</t>
  </si>
  <si>
    <t>2019-09-18</t>
  </si>
  <si>
    <t>1992-12-02</t>
  </si>
  <si>
    <t>E105</t>
  </si>
  <si>
    <t>P103</t>
  </si>
  <si>
    <t>Ahmed Ali</t>
  </si>
  <si>
    <t>FIN</t>
  </si>
  <si>
    <t>2015-01-05</t>
  </si>
  <si>
    <t>1980-05-30</t>
  </si>
  <si>
    <t>E106</t>
  </si>
  <si>
    <t>P104</t>
  </si>
  <si>
    <t>Priya N</t>
  </si>
  <si>
    <t>2021-11-23</t>
  </si>
  <si>
    <t>1993-03-19</t>
  </si>
  <si>
    <t>E107</t>
  </si>
  <si>
    <t>P105</t>
  </si>
  <si>
    <t>James Wong</t>
  </si>
  <si>
    <t>2017-04-12</t>
  </si>
  <si>
    <t>1987-09-05</t>
  </si>
  <si>
    <t>E108</t>
  </si>
  <si>
    <t>Chen Wei</t>
  </si>
  <si>
    <t>2016-02-20</t>
  </si>
  <si>
    <t>1984-07-17</t>
  </si>
  <si>
    <t>E109</t>
  </si>
  <si>
    <t>Neha Singh</t>
  </si>
  <si>
    <t>2018-08-30</t>
  </si>
  <si>
    <t>1991-01-27</t>
  </si>
  <si>
    <t>E110</t>
  </si>
  <si>
    <t>Peter Pan</t>
  </si>
  <si>
    <t>2019-12-11</t>
  </si>
  <si>
    <t>1989-06-14</t>
  </si>
  <si>
    <t>E111</t>
  </si>
  <si>
    <t>Luis M</t>
  </si>
  <si>
    <t>2020-10-15</t>
  </si>
  <si>
    <t>1992-08-01</t>
  </si>
  <si>
    <t>E112</t>
  </si>
  <si>
    <t>Sara Khan</t>
  </si>
  <si>
    <t>2021-01-25</t>
  </si>
  <si>
    <t>1996-03-08</t>
  </si>
  <si>
    <t>E113</t>
  </si>
  <si>
    <t>David Lee</t>
  </si>
  <si>
    <t>2014-07-19</t>
  </si>
  <si>
    <t>1981-11-12</t>
  </si>
  <si>
    <t>E114</t>
  </si>
  <si>
    <t>Aisha Patel</t>
  </si>
  <si>
    <t>2022-03-08</t>
  </si>
  <si>
    <t>1995-09-29</t>
  </si>
  <si>
    <t>E115</t>
  </si>
  <si>
    <t>John Deo</t>
  </si>
  <si>
    <t>2019-06-06</t>
  </si>
  <si>
    <t>1993-04-04</t>
  </si>
  <si>
    <t>E116</t>
  </si>
  <si>
    <t>Sneha Roy</t>
  </si>
  <si>
    <t>2018-09-13</t>
  </si>
  <si>
    <t>1990-02-02</t>
  </si>
  <si>
    <t>E117</t>
  </si>
  <si>
    <t>Mark Smith</t>
  </si>
  <si>
    <t>2020-05-02</t>
  </si>
  <si>
    <t>1986-10-10</t>
  </si>
  <si>
    <t>E118</t>
  </si>
  <si>
    <t>Li Na</t>
  </si>
  <si>
    <t>2017-08-28</t>
  </si>
  <si>
    <t>1988-01-18</t>
  </si>
  <si>
    <t>E119</t>
  </si>
  <si>
    <t>Tom Cruise</t>
  </si>
  <si>
    <t>2016-11-22</t>
  </si>
  <si>
    <t>1985-07-07</t>
  </si>
  <si>
    <t>E120</t>
  </si>
  <si>
    <t>Riya Mehta</t>
  </si>
  <si>
    <t>2015-12-10</t>
  </si>
  <si>
    <t>1987-02-25</t>
  </si>
  <si>
    <t>Day of joining</t>
  </si>
  <si>
    <t>Age</t>
  </si>
  <si>
    <t>Date and Time functions</t>
  </si>
  <si>
    <t>Today=</t>
  </si>
  <si>
    <t>Now=</t>
  </si>
  <si>
    <t>year=</t>
  </si>
  <si>
    <t>Month</t>
  </si>
  <si>
    <t>day</t>
  </si>
  <si>
    <t>14/6/2022</t>
  </si>
  <si>
    <t>weekday in number</t>
  </si>
  <si>
    <t>1-mon,2-tue,3-wed,4-thur,5-fri,6-sat,7-sun</t>
  </si>
  <si>
    <t>display weekday name using choose()</t>
  </si>
  <si>
    <t>tenure in years</t>
  </si>
  <si>
    <t>Tenure months remainder</t>
  </si>
  <si>
    <t>Age in years</t>
  </si>
  <si>
    <t>Column1</t>
  </si>
  <si>
    <t>A</t>
  </si>
  <si>
    <t>B</t>
  </si>
  <si>
    <t>C</t>
  </si>
  <si>
    <t>D</t>
  </si>
  <si>
    <t>BonusPct</t>
  </si>
  <si>
    <r>
      <rPr>
        <b/>
        <sz val="18"/>
        <color rgb="FF000000"/>
        <rFont val="Aptos Narrow"/>
        <scheme val="minor"/>
      </rPr>
      <t xml:space="preserve">HLOOKUP (Horizontal Lookup)
</t>
    </r>
    <r>
      <rPr>
        <b/>
        <sz val="12"/>
        <color rgb="FF31869B"/>
        <rFont val="Aptos Narrow"/>
        <scheme val="minor"/>
      </rPr>
      <t>Use case: Fetch Bonus % based on Grade (A, B, C, D) using the Bonus table at the bottom.
=HLOOKUP([@Grade],Table2[[#All],[A]:[D]],2)</t>
    </r>
  </si>
  <si>
    <t>E</t>
  </si>
  <si>
    <t>MinScore</t>
  </si>
  <si>
    <t>Grade</t>
  </si>
  <si>
    <t>Grade percentage</t>
  </si>
  <si>
    <r>
      <rPr>
        <b/>
        <sz val="12"/>
        <color rgb="FF000000"/>
        <rFont val="Aptos Narrow"/>
        <scheme val="minor"/>
      </rPr>
      <t xml:space="preserve">VLOOKUP (Vertical Lookup)
</t>
    </r>
    <r>
      <rPr>
        <b/>
        <sz val="12"/>
        <color rgb="FF31869B"/>
        <rFont val="Aptos Narrow"/>
        <scheme val="minor"/>
      </rPr>
      <t xml:space="preserve">
Use case: Look up DeptCode in the main table and return DeptName from the Dept lookup table.
</t>
    </r>
  </si>
  <si>
    <t>DeptName</t>
  </si>
  <si>
    <t>Manager</t>
  </si>
  <si>
    <t>CostCenter</t>
  </si>
  <si>
    <t>Sales</t>
  </si>
  <si>
    <t>Anita Verma</t>
  </si>
  <si>
    <t>6001</t>
  </si>
  <si>
    <t>Human Resources</t>
  </si>
  <si>
    <t>Vijay Rao</t>
  </si>
  <si>
    <t>6002</t>
  </si>
  <si>
    <t>Information Technology</t>
  </si>
  <si>
    <t>Meera Iyer</t>
  </si>
  <si>
    <t>6003</t>
  </si>
  <si>
    <t>Dept name</t>
  </si>
  <si>
    <t>Finance</t>
  </si>
  <si>
    <t>Arun Sharma</t>
  </si>
  <si>
    <t>6004</t>
  </si>
  <si>
    <r>
      <rPr>
        <b/>
        <sz val="12"/>
        <color rgb="FF000000"/>
        <rFont val="Aptos Narrow"/>
        <scheme val="minor"/>
      </rPr>
      <t xml:space="preserve">XLOOKUP (Vertical Lookup)
</t>
    </r>
    <r>
      <rPr>
        <b/>
        <sz val="12"/>
        <color rgb="FF31869B"/>
        <rFont val="Aptos Narrow"/>
        <scheme val="minor"/>
      </rPr>
      <t xml:space="preserve">Use case: Look up DeptCode in the main table and return DeptManager from the Dept lookup table.
</t>
    </r>
  </si>
  <si>
    <t>dept name</t>
  </si>
  <si>
    <t xml:space="preserve">INDEX + MATCH :
Returns the value sitting at the intersection of that row and column
Syntax:=INDEX(array, row_num, [column_num])
-  array =&gt; the table or range.
-row_num = which row inside the array
-column_num =&gt; which column inside the array
</t>
  </si>
  <si>
    <r>
      <rPr>
        <b/>
        <sz val="11"/>
        <color rgb="FFC0504D"/>
        <rFont val="Aptos Narrow"/>
        <scheme val="minor"/>
      </rPr>
      <t xml:space="preserve">MATCH
</t>
    </r>
    <r>
      <rPr>
        <sz val="11"/>
        <color rgb="FF000000"/>
        <rFont val="Aptos Narrow"/>
        <scheme val="minor"/>
      </rPr>
      <t>=MATCH(lookup_value, lookup_array, [match_type])
Finds the position of a value in a column or row.</t>
    </r>
  </si>
  <si>
    <t>ProductName</t>
  </si>
  <si>
    <t>UnitPrice</t>
  </si>
  <si>
    <t>CRM License</t>
  </si>
  <si>
    <t>HRMS License</t>
  </si>
  <si>
    <t>Dev Tools Suite</t>
  </si>
  <si>
    <t>Financial Suite</t>
  </si>
  <si>
    <t>Cloud Credits Pack</t>
  </si>
  <si>
    <t>Sales Enablement Kit</t>
  </si>
  <si>
    <t>MATCH – find the row number of SKU</t>
  </si>
  <si>
    <t>INDEX – fetch value directly by row and column
Formula (get 4th row, 3rd column = UnitPrice):</t>
  </si>
  <si>
    <t>INDEX + MATCH – combine both (dynamic lookup)
Get UnitPrice for a SKU (example: "P103"):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</si>
</sst>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rgb="FF31869B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8"/>
      <color rgb="FF000000"/>
      <name val="Aptos Narrow"/>
      <scheme val="minor"/>
    </font>
    <font>
      <b/>
      <sz val="18"/>
      <color theme="1"/>
      <name val="Aptos Narrow"/>
      <family val="2"/>
      <scheme val="minor"/>
    </font>
    <font>
      <sz val="18"/>
      <color theme="5"/>
      <name val="Aptos Narrow"/>
      <family val="2"/>
      <scheme val="minor"/>
    </font>
    <font>
      <b/>
      <sz val="11"/>
      <color rgb="FFC0504D"/>
      <name val="Aptos Narrow"/>
      <scheme val="minor"/>
    </font>
    <font>
      <b/>
      <sz val="11"/>
      <color theme="5"/>
      <name val="Aptos Narrow"/>
      <family val="2"/>
      <scheme val="minor"/>
    </font>
    <font>
      <sz val="11"/>
      <color rgb="FF000000"/>
      <name val="Aptos Narrow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11" fillId="0" borderId="0" xfId="0" applyFont="1"/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wrapText="1"/>
    </xf>
    <xf numFmtId="0" fontId="18" fillId="2" borderId="7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14" fontId="3" fillId="0" borderId="7" xfId="0" applyNumberFormat="1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3" fillId="0" borderId="0" xfId="0" applyFont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6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50CE4E-0980-4C6C-AEE7-8579EB959A87}" name="Table5" displayName="Table5" ref="E6:I26" totalsRowShown="0" headerRowDxfId="64" dataDxfId="63">
  <autoFilter ref="E6:I26" xr:uid="{0750CE4E-0980-4C6C-AEE7-8579EB959A87}"/>
  <tableColumns count="5">
    <tableColumn id="1" xr3:uid="{111D85D5-6B98-458C-86B8-A4D4D69ED2DC}" name="JoinDate" dataDxfId="62"/>
    <tableColumn id="2" xr3:uid="{423FD75D-5CA3-42B2-894D-167EB863CDAB}" name="BirthDate" dataDxfId="61"/>
    <tableColumn id="3" xr3:uid="{7A0EB1A2-7E37-4958-8856-FBD58739DC46}" name="LastLogin" dataDxfId="60"/>
    <tableColumn id="4" xr3:uid="{6B98C79F-FE26-4D8C-96F2-293919443C82}" name="BaseSalary" dataDxfId="59"/>
    <tableColumn id="5" xr3:uid="{5CE5D67E-AB20-4374-B1E9-C319E20CD3AA}" name="PerformanceScore" dataDxfId="58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E73676-781E-43E3-99A8-239F9FA1EB6A}" name="Table4" displayName="Table4" ref="A6:K26" totalsRowShown="0" headerRowDxfId="57" dataDxfId="55" headerRowBorderDxfId="56" tableBorderDxfId="54">
  <autoFilter ref="A6:K26" xr:uid="{DDE73676-781E-43E3-99A8-239F9FA1EB6A}"/>
  <tableColumns count="11">
    <tableColumn id="1" xr3:uid="{175F1F1F-B320-4D1E-B4B6-059D9F9B2E9E}" name="EmployeeID" dataDxfId="53"/>
    <tableColumn id="2" xr3:uid="{FF4BF74B-1F17-4E57-9287-2AF06834BC46}" name="SKU" dataDxfId="52"/>
    <tableColumn id="3" xr3:uid="{F2188A01-A15F-46F4-9FC4-3667A8988C09}" name="Name" dataDxfId="51"/>
    <tableColumn id="4" xr3:uid="{06501BFC-1DE9-47A1-A427-A07FD8286464}" name="DeptCode" dataDxfId="50"/>
    <tableColumn id="5" xr3:uid="{54423E83-8290-46A2-9325-90671BD73A4B}" name="JoinDate" dataDxfId="49"/>
    <tableColumn id="11" xr3:uid="{5C788548-CB50-4D1A-970A-C657984815AA}" name="Day of joining" dataDxfId="48">
      <calculatedColumnFormula>CHOOSE(WEEKDAY(Table4[[#This Row],[JoinDate]],2),"Monday","Tuesday","Wednesday","Thursday","Friday","Saturday","Sunday")</calculatedColumnFormula>
    </tableColumn>
    <tableColumn id="6" xr3:uid="{B463CC0A-E945-4472-ABBC-788622EB3E39}" name="BirthDate" dataDxfId="47"/>
    <tableColumn id="12" xr3:uid="{F956D477-32F9-402E-AD9E-EF19FE29E159}" name="Age" dataDxfId="46">
      <calculatedColumnFormula>DATEDIF(Table4[[#This Row],[BirthDate]],TODAY(),"y")</calculatedColumnFormula>
    </tableColumn>
    <tableColumn id="7" xr3:uid="{22C19CCD-85C4-4189-9F93-C67D2F00B399}" name="LastLogin" dataDxfId="45"/>
    <tableColumn id="8" xr3:uid="{8C46E673-3E78-481A-9D41-78022607D39D}" name="BaseSalary" dataDxfId="44"/>
    <tableColumn id="9" xr3:uid="{8B73ED7B-08EF-4355-BBC3-A734287C0A28}" name="PerformanceScore" dataDxfId="4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58C64-E63E-4508-A582-D717C474ABF0}" name="Table1" displayName="Table1" ref="A10:C14" totalsRowShown="0">
  <autoFilter ref="A10:C14" xr:uid="{30158C64-E63E-4508-A582-D717C474ABF0}"/>
  <tableColumns count="3">
    <tableColumn id="1" xr3:uid="{3A9D59BE-6A33-4E14-88B6-713070171BC9}" name="MinScore" dataDxfId="42"/>
    <tableColumn id="2" xr3:uid="{5A5DAA24-A06D-4BFC-AEB3-BB3FC15C9A92}" name="Grade" dataDxfId="41"/>
    <tableColumn id="3" xr3:uid="{DEC37277-8B9E-46F7-97F1-F62EC3B2A9A0}" name="Grade percentage" dataDxfId="40">
      <calculatedColumnFormula>HLOOKUP(Table1[[#This Row],[Grade]],$E$5:$I$6,2)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BDC0AC-2C0E-4736-8C0D-30580A4D83B3}" name="Table2" displayName="Table2" ref="A1:E2" totalsRowShown="0" headerRowDxfId="39" dataDxfId="38">
  <autoFilter ref="A1:E2" xr:uid="{54BDC0AC-2C0E-4736-8C0D-30580A4D83B3}"/>
  <tableColumns count="5">
    <tableColumn id="1" xr3:uid="{77A06131-F8B8-4CB4-B76E-462855DA415A}" name="Column1" dataDxfId="37"/>
    <tableColumn id="2" xr3:uid="{B81497C4-42B3-48A8-9F74-8AB0F1E42C87}" name="A" dataDxfId="36"/>
    <tableColumn id="3" xr3:uid="{B76D431A-060D-449F-8998-1CC3766001E0}" name="B" dataDxfId="35"/>
    <tableColumn id="4" xr3:uid="{5EAEC718-0DD9-48BC-9A20-2332CAA6D74E}" name="C" dataDxfId="34"/>
    <tableColumn id="5" xr3:uid="{3A927750-D201-48A2-A233-3ABDA13BF18D}" name="D" dataDxfId="3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F2B50B-F623-40FA-BF23-6E1E8E61C7C3}" name="Table48" displayName="Table48" ref="M2:P6" totalsRowShown="0" headerRowDxfId="32" dataDxfId="30" headerRowBorderDxfId="31" tableBorderDxfId="29">
  <autoFilter ref="M2:P6" xr:uid="{4FF2B50B-F623-40FA-BF23-6E1E8E61C7C3}"/>
  <tableColumns count="4">
    <tableColumn id="1" xr3:uid="{0B04DFD3-3A79-461E-9B9B-61ED6E2EDA36}" name="DeptCode" dataDxfId="28"/>
    <tableColumn id="2" xr3:uid="{9438E72F-52EA-4C1F-8797-715FC295A571}" name="DeptName" dataDxfId="27"/>
    <tableColumn id="3" xr3:uid="{35B70379-6E4B-4E38-AB02-9104E8AC5538}" name="Manager" dataDxfId="26"/>
    <tableColumn id="4" xr3:uid="{01308DCB-94A8-485F-80C0-076D02B335AA}" name="CostCenter" dataDxfId="25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BD4A16-021C-4FDD-90CB-15B43F41D870}" name="Table9" displayName="Table9" ref="A6:K26" totalsRowShown="0" headerRowDxfId="24" dataDxfId="23">
  <autoFilter ref="A6:K26" xr:uid="{32BD4A16-021C-4FDD-90CB-15B43F41D870}"/>
  <tableColumns count="11">
    <tableColumn id="1" xr3:uid="{D9269887-BAC1-41F8-B549-DF169986D769}" name="EmployeeID" dataDxfId="22"/>
    <tableColumn id="2" xr3:uid="{5B16BF45-ECD3-41F9-842E-F4384F6CB175}" name="SKU" dataDxfId="21"/>
    <tableColumn id="3" xr3:uid="{3E50BED0-4C71-496E-9D9D-A919EAF55C83}" name="Name" dataDxfId="20"/>
    <tableColumn id="4" xr3:uid="{9046F3A1-EB31-469A-B880-74A01CFE28D5}" name="DeptCode" dataDxfId="19"/>
    <tableColumn id="5" xr3:uid="{DB874AED-964D-4A9D-899E-DED78ED5A9E7}" name="JoinDate" dataDxfId="18"/>
    <tableColumn id="6" xr3:uid="{17D63CDC-80DB-44DF-91A3-590190624E22}" name="BirthDate" dataDxfId="17"/>
    <tableColumn id="7" xr3:uid="{910B3C24-3C60-4DAF-9E8D-E7C96FBCF98A}" name="LastLogin" dataDxfId="16"/>
    <tableColumn id="8" xr3:uid="{F887ED6B-D2D2-421B-AC48-37CF7D9B55D3}" name="BaseSalary" dataDxfId="15"/>
    <tableColumn id="9" xr3:uid="{C2172B30-3F82-40AC-8F02-89E143008A1B}" name="PerformanceScore" dataDxfId="14"/>
    <tableColumn id="10" xr3:uid="{53CEE76F-DD02-4618-AADB-C872A58AC47B}" name="Dept name" dataDxfId="13"/>
    <tableColumn id="11" xr3:uid="{210F5AA4-E580-4244-B19B-5794FCCD362B}" name="Column1" dataDxfId="1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7C7F16-4E35-4219-A0F5-0F55445D94A5}" name="Table59" displayName="Table59" ref="E6:K26" totalsRowShown="0" headerRowDxfId="11" dataDxfId="10">
  <autoFilter ref="E6:K26" xr:uid="{397C7F16-4E35-4219-A0F5-0F55445D94A5}"/>
  <tableColumns count="7">
    <tableColumn id="1" xr3:uid="{E29AD8C7-CFD2-4646-91F9-5AC85FD84FE5}" name="JoinDate" dataDxfId="9"/>
    <tableColumn id="2" xr3:uid="{4370B9F7-6425-4589-8249-797D9AE25387}" name="BirthDate" dataDxfId="8"/>
    <tableColumn id="3" xr3:uid="{4D4BEDCE-A362-4CF7-975E-DC3BB61321AC}" name="LastLogin" dataDxfId="7"/>
    <tableColumn id="4" xr3:uid="{236F38EF-FF7E-4987-B8ED-AED266D91A6F}" name="BaseSalary" dataDxfId="6"/>
    <tableColumn id="5" xr3:uid="{1DF37946-4B0A-457A-B8A8-9CDF01CA5851}" name="PerformanceScore" dataDxfId="5"/>
    <tableColumn id="7" xr3:uid="{FBC28B13-CBD4-442F-AF58-569D7581FD14}" name="Manager" dataDxfId="4">
      <calculatedColumnFormula>_xlfn.XLOOKUP(D7,$L$3:$L$6,$N$3:$N$6,"unknown")</calculatedColumnFormula>
    </tableColumn>
    <tableColumn id="8" xr3:uid="{937E3AB1-BA1C-4C21-ABFF-367065120726}" name="dept name" dataDxfId="3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C06B86-0E59-49AB-8521-6B15B211A7F1}" name="Table3" displayName="Table3" ref="A5:C11" totalsRowShown="0">
  <autoFilter ref="A5:C11" xr:uid="{BEC06B86-0E59-49AB-8521-6B15B211A7F1}"/>
  <tableColumns count="3">
    <tableColumn id="1" xr3:uid="{A5B02F1A-6E45-49E7-9371-C5AFCC270C0A}" name="SKU" dataDxfId="2"/>
    <tableColumn id="2" xr3:uid="{EA1A6D07-0934-43F3-9DAC-5F44022DB77C}" name="ProductName" dataDxfId="1"/>
    <tableColumn id="3" xr3:uid="{8F1DCDAD-2A31-4193-AEC5-D1BC1287E2A6}" name="UnitPric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EA83-11A6-49F5-A947-A00D860E77A3}">
  <dimension ref="A2:R64"/>
  <sheetViews>
    <sheetView topLeftCell="A5" workbookViewId="0">
      <selection activeCell="E6" sqref="E6:G26"/>
    </sheetView>
  </sheetViews>
  <sheetFormatPr defaultRowHeight="15" customHeight="1" x14ac:dyDescent="0.3"/>
  <cols>
    <col min="1" max="1" width="13.5546875" style="1" customWidth="1"/>
    <col min="2" max="2" width="22.6640625" style="1" customWidth="1"/>
    <col min="3" max="3" width="17.5546875" style="1" customWidth="1"/>
    <col min="4" max="4" width="18" style="1" customWidth="1"/>
    <col min="5" max="5" width="21.5546875" style="1" customWidth="1"/>
    <col min="6" max="6" width="19.6640625" style="1" customWidth="1"/>
    <col min="7" max="7" width="21.6640625" style="2" customWidth="1"/>
    <col min="8" max="8" width="23.5546875" style="1" customWidth="1"/>
    <col min="9" max="9" width="19.44140625" style="1" customWidth="1"/>
    <col min="10" max="10" width="36.5546875" bestFit="1" customWidth="1"/>
    <col min="11" max="11" width="51.44140625" customWidth="1"/>
    <col min="12" max="12" width="21.6640625" bestFit="1" customWidth="1"/>
    <col min="13" max="13" width="42" customWidth="1"/>
    <col min="15" max="15" width="14.6640625" bestFit="1" customWidth="1"/>
    <col min="18" max="18" width="36.5546875" bestFit="1" customWidth="1"/>
  </cols>
  <sheetData>
    <row r="2" spans="1:13" ht="80.400000000000006" customHeight="1" x14ac:dyDescent="0.3">
      <c r="J2" s="28"/>
      <c r="K2" s="28"/>
      <c r="L2" s="28"/>
      <c r="M2" s="28"/>
    </row>
    <row r="3" spans="1:13" ht="15" customHeight="1" x14ac:dyDescent="0.3">
      <c r="J3" s="1"/>
      <c r="K3" s="1"/>
      <c r="L3" s="1"/>
      <c r="M3" s="1"/>
    </row>
    <row r="4" spans="1:13" ht="15" customHeight="1" x14ac:dyDescent="0.3">
      <c r="J4" s="1"/>
      <c r="K4" s="1"/>
      <c r="L4" s="1"/>
      <c r="M4" s="1"/>
    </row>
    <row r="5" spans="1:13" ht="15" customHeight="1" x14ac:dyDescent="0.3">
      <c r="J5" s="1"/>
      <c r="K5" s="1"/>
      <c r="L5" s="1"/>
      <c r="M5" s="1"/>
    </row>
    <row r="6" spans="1:13" ht="14.4" customHeight="1" x14ac:dyDescent="0.3">
      <c r="A6" s="23" t="s">
        <v>0</v>
      </c>
      <c r="B6" s="23" t="s">
        <v>1</v>
      </c>
      <c r="C6" s="23" t="s">
        <v>2</v>
      </c>
      <c r="D6" s="23" t="s">
        <v>3</v>
      </c>
      <c r="E6" s="24" t="s">
        <v>4</v>
      </c>
      <c r="F6" s="24" t="s">
        <v>5</v>
      </c>
      <c r="G6" s="25" t="s">
        <v>6</v>
      </c>
      <c r="H6" s="24" t="s">
        <v>7</v>
      </c>
      <c r="I6" s="24" t="s">
        <v>8</v>
      </c>
      <c r="J6" s="1"/>
      <c r="K6" s="1"/>
      <c r="L6" s="1"/>
      <c r="M6" s="1"/>
    </row>
    <row r="7" spans="1:13" ht="14.4" customHeight="1" x14ac:dyDescent="0.3">
      <c r="A7" s="26" t="s">
        <v>9</v>
      </c>
      <c r="B7" s="26" t="s">
        <v>10</v>
      </c>
      <c r="C7" s="26" t="s">
        <v>11</v>
      </c>
      <c r="D7" s="26" t="s">
        <v>12</v>
      </c>
      <c r="E7" s="26" t="s">
        <v>13</v>
      </c>
      <c r="F7" s="26" t="s">
        <v>14</v>
      </c>
      <c r="G7" s="27">
        <v>45890.395833333336</v>
      </c>
      <c r="H7" s="26">
        <v>52000</v>
      </c>
      <c r="I7" s="26">
        <v>85</v>
      </c>
      <c r="J7" s="7"/>
      <c r="K7" s="7"/>
    </row>
    <row r="8" spans="1:13" ht="14.4" x14ac:dyDescent="0.3">
      <c r="A8" s="26" t="s">
        <v>15</v>
      </c>
      <c r="B8" s="26" t="s">
        <v>16</v>
      </c>
      <c r="C8" s="26" t="s">
        <v>17</v>
      </c>
      <c r="D8" s="26" t="s">
        <v>18</v>
      </c>
      <c r="E8" s="26" t="s">
        <v>19</v>
      </c>
      <c r="F8" s="26" t="s">
        <v>20</v>
      </c>
      <c r="G8" s="27">
        <v>45891</v>
      </c>
      <c r="H8" s="26">
        <v>48000</v>
      </c>
      <c r="I8" s="26">
        <v>90</v>
      </c>
    </row>
    <row r="9" spans="1:13" ht="14.4" x14ac:dyDescent="0.3">
      <c r="A9" s="26" t="s">
        <v>21</v>
      </c>
      <c r="B9" s="26" t="s">
        <v>22</v>
      </c>
      <c r="C9" s="26" t="s">
        <v>23</v>
      </c>
      <c r="D9" s="26" t="s">
        <v>24</v>
      </c>
      <c r="E9" s="26" t="s">
        <v>25</v>
      </c>
      <c r="F9" s="26" t="s">
        <v>26</v>
      </c>
      <c r="G9" s="27">
        <v>45892</v>
      </c>
      <c r="H9" s="26">
        <v>60000</v>
      </c>
      <c r="I9" s="26">
        <v>78</v>
      </c>
    </row>
    <row r="10" spans="1:13" ht="14.4" x14ac:dyDescent="0.3">
      <c r="A10" s="26" t="s">
        <v>27</v>
      </c>
      <c r="B10" s="26" t="s">
        <v>10</v>
      </c>
      <c r="C10" s="26" t="s">
        <v>28</v>
      </c>
      <c r="D10" s="26" t="s">
        <v>12</v>
      </c>
      <c r="E10" s="26" t="s">
        <v>29</v>
      </c>
      <c r="F10" s="26" t="s">
        <v>30</v>
      </c>
      <c r="G10" s="27">
        <v>45893</v>
      </c>
      <c r="H10" s="26">
        <v>55000</v>
      </c>
      <c r="I10" s="26">
        <v>88</v>
      </c>
    </row>
    <row r="11" spans="1:13" ht="14.4" x14ac:dyDescent="0.3">
      <c r="A11" s="26" t="s">
        <v>31</v>
      </c>
      <c r="B11" s="26" t="s">
        <v>32</v>
      </c>
      <c r="C11" s="26" t="s">
        <v>33</v>
      </c>
      <c r="D11" s="26" t="s">
        <v>34</v>
      </c>
      <c r="E11" s="26" t="s">
        <v>35</v>
      </c>
      <c r="F11" s="26" t="s">
        <v>36</v>
      </c>
      <c r="G11" s="27">
        <v>45894</v>
      </c>
      <c r="H11" s="26">
        <v>75000</v>
      </c>
      <c r="I11" s="26">
        <v>92</v>
      </c>
    </row>
    <row r="12" spans="1:13" ht="14.4" x14ac:dyDescent="0.3">
      <c r="A12" s="26" t="s">
        <v>37</v>
      </c>
      <c r="B12" s="26" t="s">
        <v>38</v>
      </c>
      <c r="C12" s="26" t="s">
        <v>39</v>
      </c>
      <c r="D12" s="26" t="s">
        <v>24</v>
      </c>
      <c r="E12" s="26" t="s">
        <v>40</v>
      </c>
      <c r="F12" s="26" t="s">
        <v>41</v>
      </c>
      <c r="G12" s="27">
        <v>45895</v>
      </c>
      <c r="H12" s="26">
        <v>62000</v>
      </c>
      <c r="I12" s="26">
        <v>81</v>
      </c>
    </row>
    <row r="13" spans="1:13" ht="14.4" x14ac:dyDescent="0.3">
      <c r="A13" s="26" t="s">
        <v>42</v>
      </c>
      <c r="B13" s="26" t="s">
        <v>43</v>
      </c>
      <c r="C13" s="26" t="s">
        <v>44</v>
      </c>
      <c r="D13" s="26" t="s">
        <v>12</v>
      </c>
      <c r="E13" s="26" t="s">
        <v>45</v>
      </c>
      <c r="F13" s="26" t="s">
        <v>46</v>
      </c>
      <c r="G13" s="27">
        <v>45896</v>
      </c>
      <c r="H13" s="26">
        <v>58000</v>
      </c>
      <c r="I13" s="26">
        <v>86</v>
      </c>
      <c r="L13" s="8"/>
    </row>
    <row r="14" spans="1:13" ht="14.4" x14ac:dyDescent="0.3">
      <c r="A14" s="26" t="s">
        <v>47</v>
      </c>
      <c r="B14" s="26" t="s">
        <v>16</v>
      </c>
      <c r="C14" s="26" t="s">
        <v>48</v>
      </c>
      <c r="D14" s="26" t="s">
        <v>18</v>
      </c>
      <c r="E14" s="26" t="s">
        <v>49</v>
      </c>
      <c r="F14" s="26" t="s">
        <v>50</v>
      </c>
      <c r="G14" s="27">
        <v>45897</v>
      </c>
      <c r="H14" s="26">
        <v>50000</v>
      </c>
      <c r="I14" s="26">
        <v>79</v>
      </c>
    </row>
    <row r="15" spans="1:13" ht="14.4" x14ac:dyDescent="0.3">
      <c r="A15" s="26" t="s">
        <v>51</v>
      </c>
      <c r="B15" s="26" t="s">
        <v>32</v>
      </c>
      <c r="C15" s="26" t="s">
        <v>52</v>
      </c>
      <c r="D15" s="26" t="s">
        <v>34</v>
      </c>
      <c r="E15" s="26" t="s">
        <v>53</v>
      </c>
      <c r="F15" s="26" t="s">
        <v>54</v>
      </c>
      <c r="G15" s="27">
        <v>45898</v>
      </c>
      <c r="H15" s="26">
        <v>72000</v>
      </c>
      <c r="I15" s="26">
        <v>95</v>
      </c>
    </row>
    <row r="16" spans="1:13" ht="14.4" x14ac:dyDescent="0.3">
      <c r="A16" s="26" t="s">
        <v>55</v>
      </c>
      <c r="B16" s="26" t="s">
        <v>38</v>
      </c>
      <c r="C16" s="26" t="s">
        <v>56</v>
      </c>
      <c r="D16" s="26" t="s">
        <v>24</v>
      </c>
      <c r="E16" s="26" t="s">
        <v>57</v>
      </c>
      <c r="F16" s="26" t="s">
        <v>58</v>
      </c>
      <c r="G16" s="27">
        <v>45899</v>
      </c>
      <c r="H16" s="26">
        <v>61000</v>
      </c>
      <c r="I16" s="26">
        <v>82</v>
      </c>
    </row>
    <row r="17" spans="1:9" ht="14.4" x14ac:dyDescent="0.3">
      <c r="A17" s="26" t="s">
        <v>59</v>
      </c>
      <c r="B17" s="26" t="s">
        <v>10</v>
      </c>
      <c r="C17" s="26" t="s">
        <v>60</v>
      </c>
      <c r="D17" s="26" t="s">
        <v>12</v>
      </c>
      <c r="E17" s="26" t="s">
        <v>61</v>
      </c>
      <c r="F17" s="26" t="s">
        <v>62</v>
      </c>
      <c r="G17" s="27">
        <v>45900</v>
      </c>
      <c r="H17" s="26">
        <v>53000</v>
      </c>
      <c r="I17" s="26">
        <v>88</v>
      </c>
    </row>
    <row r="18" spans="1:9" ht="14.4" x14ac:dyDescent="0.3">
      <c r="A18" s="26" t="s">
        <v>63</v>
      </c>
      <c r="B18" s="26" t="s">
        <v>16</v>
      </c>
      <c r="C18" s="26" t="s">
        <v>64</v>
      </c>
      <c r="D18" s="26" t="s">
        <v>18</v>
      </c>
      <c r="E18" s="26" t="s">
        <v>65</v>
      </c>
      <c r="F18" s="26" t="s">
        <v>66</v>
      </c>
      <c r="G18" s="27">
        <v>45901</v>
      </c>
      <c r="H18" s="26">
        <v>47000</v>
      </c>
      <c r="I18" s="26">
        <v>77</v>
      </c>
    </row>
    <row r="19" spans="1:9" ht="14.4" x14ac:dyDescent="0.3">
      <c r="A19" s="26" t="s">
        <v>67</v>
      </c>
      <c r="B19" s="26" t="s">
        <v>32</v>
      </c>
      <c r="C19" s="26" t="s">
        <v>68</v>
      </c>
      <c r="D19" s="26" t="s">
        <v>34</v>
      </c>
      <c r="E19" s="26" t="s">
        <v>69</v>
      </c>
      <c r="F19" s="26" t="s">
        <v>70</v>
      </c>
      <c r="G19" s="27">
        <v>45902</v>
      </c>
      <c r="H19" s="26">
        <v>78000</v>
      </c>
      <c r="I19" s="26">
        <v>91</v>
      </c>
    </row>
    <row r="20" spans="1:9" ht="14.4" x14ac:dyDescent="0.3">
      <c r="A20" s="26" t="s">
        <v>71</v>
      </c>
      <c r="B20" s="26" t="s">
        <v>22</v>
      </c>
      <c r="C20" s="26" t="s">
        <v>72</v>
      </c>
      <c r="D20" s="26" t="s">
        <v>24</v>
      </c>
      <c r="E20" s="26" t="s">
        <v>73</v>
      </c>
      <c r="F20" s="26" t="s">
        <v>74</v>
      </c>
      <c r="G20" s="27">
        <v>45903</v>
      </c>
      <c r="H20" s="26">
        <v>61000</v>
      </c>
      <c r="I20" s="26">
        <v>84</v>
      </c>
    </row>
    <row r="21" spans="1:9" ht="14.4" x14ac:dyDescent="0.3">
      <c r="A21" s="26" t="s">
        <v>75</v>
      </c>
      <c r="B21" s="26" t="s">
        <v>43</v>
      </c>
      <c r="C21" s="26" t="s">
        <v>76</v>
      </c>
      <c r="D21" s="26" t="s">
        <v>12</v>
      </c>
      <c r="E21" s="26" t="s">
        <v>77</v>
      </c>
      <c r="F21" s="26" t="s">
        <v>78</v>
      </c>
      <c r="G21" s="27">
        <v>45904</v>
      </c>
      <c r="H21" s="26">
        <v>54000</v>
      </c>
      <c r="I21" s="26">
        <v>87</v>
      </c>
    </row>
    <row r="22" spans="1:9" ht="14.4" x14ac:dyDescent="0.3">
      <c r="A22" s="26" t="s">
        <v>79</v>
      </c>
      <c r="B22" s="26" t="s">
        <v>32</v>
      </c>
      <c r="C22" s="26" t="s">
        <v>80</v>
      </c>
      <c r="D22" s="26" t="s">
        <v>34</v>
      </c>
      <c r="E22" s="26" t="s">
        <v>81</v>
      </c>
      <c r="F22" s="26" t="s">
        <v>82</v>
      </c>
      <c r="G22" s="27">
        <v>45905</v>
      </c>
      <c r="H22" s="26">
        <v>71000</v>
      </c>
      <c r="I22" s="26">
        <v>89</v>
      </c>
    </row>
    <row r="23" spans="1:9" ht="14.4" x14ac:dyDescent="0.3">
      <c r="A23" s="26" t="s">
        <v>83</v>
      </c>
      <c r="B23" s="26" t="s">
        <v>16</v>
      </c>
      <c r="C23" s="26" t="s">
        <v>84</v>
      </c>
      <c r="D23" s="26" t="s">
        <v>18</v>
      </c>
      <c r="E23" s="26" t="s">
        <v>85</v>
      </c>
      <c r="F23" s="26" t="s">
        <v>86</v>
      </c>
      <c r="G23" s="27">
        <v>45906</v>
      </c>
      <c r="H23" s="26">
        <v>49000</v>
      </c>
      <c r="I23" s="26">
        <v>80</v>
      </c>
    </row>
    <row r="24" spans="1:9" ht="14.4" customHeight="1" x14ac:dyDescent="0.3">
      <c r="A24" s="26" t="s">
        <v>87</v>
      </c>
      <c r="B24" s="26" t="s">
        <v>38</v>
      </c>
      <c r="C24" s="26" t="s">
        <v>88</v>
      </c>
      <c r="D24" s="26" t="s">
        <v>24</v>
      </c>
      <c r="E24" s="26" t="s">
        <v>89</v>
      </c>
      <c r="F24" s="26" t="s">
        <v>90</v>
      </c>
      <c r="G24" s="27">
        <v>45907</v>
      </c>
      <c r="H24" s="26">
        <v>64000</v>
      </c>
      <c r="I24" s="26">
        <v>93</v>
      </c>
    </row>
    <row r="25" spans="1:9" ht="33.6" customHeight="1" x14ac:dyDescent="0.3">
      <c r="A25" s="26" t="s">
        <v>91</v>
      </c>
      <c r="B25" s="26" t="s">
        <v>10</v>
      </c>
      <c r="C25" s="26" t="s">
        <v>92</v>
      </c>
      <c r="D25" s="26" t="s">
        <v>12</v>
      </c>
      <c r="E25" s="26" t="s">
        <v>93</v>
      </c>
      <c r="F25" s="26" t="s">
        <v>94</v>
      </c>
      <c r="G25" s="27">
        <v>45908</v>
      </c>
      <c r="H25" s="26">
        <v>56000</v>
      </c>
      <c r="I25" s="26">
        <v>84</v>
      </c>
    </row>
    <row r="26" spans="1:9" ht="14.4" customHeight="1" x14ac:dyDescent="0.3">
      <c r="A26" s="26" t="s">
        <v>95</v>
      </c>
      <c r="B26" s="26" t="s">
        <v>32</v>
      </c>
      <c r="C26" s="26" t="s">
        <v>96</v>
      </c>
      <c r="D26" s="26" t="s">
        <v>34</v>
      </c>
      <c r="E26" s="26" t="s">
        <v>97</v>
      </c>
      <c r="F26" s="26" t="s">
        <v>98</v>
      </c>
      <c r="G26" s="27">
        <v>45909</v>
      </c>
      <c r="H26" s="26">
        <v>73000</v>
      </c>
      <c r="I26" s="26">
        <v>90</v>
      </c>
    </row>
    <row r="27" spans="1:9" ht="14.4" x14ac:dyDescent="0.3"/>
    <row r="28" spans="1:9" ht="14.4" x14ac:dyDescent="0.3"/>
    <row r="29" spans="1:9" ht="14.4" x14ac:dyDescent="0.3">
      <c r="F29" s="29"/>
      <c r="G29" s="28"/>
      <c r="H29" s="28"/>
    </row>
    <row r="30" spans="1:9" ht="14.4" x14ac:dyDescent="0.3">
      <c r="F30" s="2"/>
      <c r="G30" s="1"/>
    </row>
    <row r="31" spans="1:9" ht="14.4" x14ac:dyDescent="0.3">
      <c r="F31" s="2"/>
      <c r="G31" s="1"/>
    </row>
    <row r="32" spans="1:9" ht="14.4" x14ac:dyDescent="0.3">
      <c r="F32" s="2"/>
      <c r="G32" s="1"/>
    </row>
    <row r="33" spans="6:18" ht="14.4" x14ac:dyDescent="0.3">
      <c r="F33" s="2"/>
      <c r="G33" s="1"/>
    </row>
    <row r="34" spans="6:18" ht="14.4" x14ac:dyDescent="0.3">
      <c r="F34" s="2"/>
      <c r="G34" s="1"/>
    </row>
    <row r="35" spans="6:18" ht="14.4" x14ac:dyDescent="0.3">
      <c r="F35" s="2"/>
      <c r="G35" s="1"/>
    </row>
    <row r="36" spans="6:18" ht="14.4" x14ac:dyDescent="0.3"/>
    <row r="37" spans="6:18" ht="162" customHeight="1" x14ac:dyDescent="0.3"/>
    <row r="40" spans="6:18" ht="15" customHeight="1" x14ac:dyDescent="0.3">
      <c r="R40" s="10"/>
    </row>
    <row r="41" spans="6:18" ht="15" customHeight="1" x14ac:dyDescent="0.3">
      <c r="O41" s="10"/>
    </row>
    <row r="47" spans="6:18" ht="25.2" customHeight="1" x14ac:dyDescent="0.3"/>
    <row r="48" spans="6:18" ht="40.950000000000003" customHeight="1" x14ac:dyDescent="0.3"/>
    <row r="50" spans="4:5" ht="39.75" customHeight="1" x14ac:dyDescent="0.3"/>
    <row r="55" spans="4:5" ht="195.75" customHeight="1" x14ac:dyDescent="0.3"/>
    <row r="62" spans="4:5" ht="15" customHeight="1" x14ac:dyDescent="0.3">
      <c r="D62"/>
      <c r="E62"/>
    </row>
    <row r="63" spans="4:5" ht="15" customHeight="1" x14ac:dyDescent="0.3">
      <c r="D63"/>
      <c r="E63"/>
    </row>
    <row r="64" spans="4:5" ht="15" customHeight="1" x14ac:dyDescent="0.3">
      <c r="D64"/>
      <c r="E64"/>
    </row>
  </sheetData>
  <autoFilter ref="A6:D26" xr:uid="{E6A2EA83-11A6-49F5-A947-A00D860E77A3}"/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opLeftCell="H6" workbookViewId="0">
      <selection activeCell="O20" sqref="O20"/>
    </sheetView>
  </sheetViews>
  <sheetFormatPr defaultRowHeight="14.4" x14ac:dyDescent="0.3"/>
  <cols>
    <col min="1" max="1" width="23.6640625" customWidth="1"/>
    <col min="2" max="2" width="20" customWidth="1"/>
    <col min="3" max="3" width="20.5546875" customWidth="1"/>
    <col min="4" max="4" width="18.109375" customWidth="1"/>
    <col min="5" max="6" width="17" customWidth="1"/>
    <col min="7" max="9" width="14.33203125" customWidth="1"/>
    <col min="10" max="10" width="17.109375" customWidth="1"/>
    <col min="11" max="11" width="19.5546875" customWidth="1"/>
    <col min="15" max="15" width="36.33203125" customWidth="1"/>
    <col min="16" max="16" width="30.6640625" customWidth="1"/>
    <col min="17" max="17" width="34.6640625" customWidth="1"/>
    <col min="18" max="18" width="34.88671875" customWidth="1"/>
    <col min="20" max="20" width="21.886718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2"/>
      <c r="J2" s="1"/>
      <c r="K2" s="1"/>
    </row>
    <row r="3" spans="1:18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</row>
    <row r="4" spans="1:18" x14ac:dyDescent="0.3">
      <c r="A4" s="1"/>
      <c r="B4" s="1"/>
      <c r="C4" s="1"/>
      <c r="D4" s="1"/>
      <c r="E4" s="1"/>
      <c r="F4" s="1"/>
      <c r="G4" s="1"/>
      <c r="H4" s="1"/>
      <c r="I4" s="2"/>
      <c r="J4" s="1"/>
      <c r="K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2"/>
      <c r="J5" s="1"/>
      <c r="K5" s="1"/>
    </row>
    <row r="6" spans="1:18" ht="23.4" x14ac:dyDescent="0.4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99</v>
      </c>
      <c r="G6" s="3" t="s">
        <v>5</v>
      </c>
      <c r="H6" s="3" t="s">
        <v>100</v>
      </c>
      <c r="I6" s="30" t="s">
        <v>6</v>
      </c>
      <c r="J6" s="3" t="s">
        <v>7</v>
      </c>
      <c r="K6" s="3" t="s">
        <v>8</v>
      </c>
      <c r="O6" s="33" t="s">
        <v>101</v>
      </c>
      <c r="P6" s="33"/>
      <c r="Q6" s="33"/>
    </row>
    <row r="7" spans="1:18" x14ac:dyDescent="0.3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tr">
        <f>CHOOSE(WEEKDAY(Table4[[#This Row],[JoinDate]],2),"Monday","Tuesday","Wednesday","Thursday","Friday","Saturday","Sunday")</f>
        <v>Friday</v>
      </c>
      <c r="G7" s="1" t="s">
        <v>14</v>
      </c>
      <c r="H7" s="1">
        <f ca="1">DATEDIF(Table4[[#This Row],[BirthDate]],TODAY(),"y")</f>
        <v>34</v>
      </c>
      <c r="I7" s="2">
        <v>45890.395833333336</v>
      </c>
      <c r="J7" s="1">
        <v>52000</v>
      </c>
      <c r="K7" s="1">
        <v>85</v>
      </c>
      <c r="O7" s="7"/>
      <c r="P7" s="1"/>
      <c r="Q7" s="1"/>
    </row>
    <row r="8" spans="1:18" x14ac:dyDescent="0.3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tr">
        <f>CHOOSE(WEEKDAY(Table4[[#This Row],[JoinDate]],2),"Monday","Tuesday","Wednesday","Thursday","Friday","Saturday","Sunday")</f>
        <v>Wednesday</v>
      </c>
      <c r="G8" s="1" t="s">
        <v>20</v>
      </c>
      <c r="H8" s="1">
        <f ca="1">DATEDIF(Table4[[#This Row],[BirthDate]],TODAY(),"y")</f>
        <v>36</v>
      </c>
      <c r="I8" s="2">
        <v>45891</v>
      </c>
      <c r="J8" s="1">
        <v>48000</v>
      </c>
      <c r="K8" s="1">
        <v>90</v>
      </c>
      <c r="O8" s="22" t="s">
        <v>102</v>
      </c>
      <c r="P8" s="9">
        <f ca="1">TODAY()</f>
        <v>45927</v>
      </c>
    </row>
    <row r="9" spans="1:18" x14ac:dyDescent="0.3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 t="str">
        <f>CHOOSE(WEEKDAY(Table4[[#This Row],[JoinDate]],2),"Monday","Tuesday","Wednesday","Thursday","Friday","Saturday","Sunday")</f>
        <v>Tuesday</v>
      </c>
      <c r="G9" s="1" t="s">
        <v>26</v>
      </c>
      <c r="H9" s="1">
        <f ca="1">DATEDIF(Table4[[#This Row],[BirthDate]],TODAY(),"y")</f>
        <v>31</v>
      </c>
      <c r="I9" s="2">
        <v>45892</v>
      </c>
      <c r="J9" s="1">
        <v>60000</v>
      </c>
      <c r="K9" s="1">
        <v>78</v>
      </c>
      <c r="O9" s="22"/>
    </row>
    <row r="10" spans="1:18" x14ac:dyDescent="0.3">
      <c r="A10" s="1" t="s">
        <v>27</v>
      </c>
      <c r="B10" s="1" t="s">
        <v>10</v>
      </c>
      <c r="C10" s="1" t="s">
        <v>28</v>
      </c>
      <c r="D10" s="1" t="s">
        <v>12</v>
      </c>
      <c r="E10" s="1" t="s">
        <v>29</v>
      </c>
      <c r="F10" s="1" t="str">
        <f>CHOOSE(WEEKDAY(Table4[[#This Row],[JoinDate]],2),"Monday","Tuesday","Wednesday","Thursday","Friday","Saturday","Sunday")</f>
        <v>Wednesday</v>
      </c>
      <c r="G10" s="1" t="s">
        <v>30</v>
      </c>
      <c r="H10" s="1">
        <f ca="1">DATEDIF(Table4[[#This Row],[BirthDate]],TODAY(),"y")</f>
        <v>32</v>
      </c>
      <c r="I10" s="2">
        <v>45893</v>
      </c>
      <c r="J10" s="1">
        <v>55000</v>
      </c>
      <c r="K10" s="1">
        <v>88</v>
      </c>
      <c r="O10" s="22" t="s">
        <v>103</v>
      </c>
      <c r="P10" s="8">
        <f ca="1">NOW()</f>
        <v>45927.674311689814</v>
      </c>
    </row>
    <row r="11" spans="1:18" x14ac:dyDescent="0.3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35</v>
      </c>
      <c r="F11" s="1" t="str">
        <f>CHOOSE(WEEKDAY(Table4[[#This Row],[JoinDate]],2),"Monday","Tuesday","Wednesday","Thursday","Friday","Saturday","Sunday")</f>
        <v>Monday</v>
      </c>
      <c r="G11" s="1" t="s">
        <v>36</v>
      </c>
      <c r="H11" s="1">
        <f ca="1">DATEDIF(Table4[[#This Row],[BirthDate]],TODAY(),"y")</f>
        <v>45</v>
      </c>
      <c r="I11" s="2">
        <v>45894</v>
      </c>
      <c r="J11" s="1">
        <v>75000</v>
      </c>
      <c r="K11" s="1">
        <v>92</v>
      </c>
      <c r="O11" s="22" t="s">
        <v>104</v>
      </c>
      <c r="P11">
        <f ca="1">YEAR(P8)</f>
        <v>2025</v>
      </c>
    </row>
    <row r="12" spans="1:18" x14ac:dyDescent="0.3">
      <c r="A12" s="1" t="s">
        <v>37</v>
      </c>
      <c r="B12" s="1" t="s">
        <v>38</v>
      </c>
      <c r="C12" s="1" t="s">
        <v>39</v>
      </c>
      <c r="D12" s="1" t="s">
        <v>24</v>
      </c>
      <c r="E12" s="1" t="s">
        <v>40</v>
      </c>
      <c r="F12" s="1" t="str">
        <f>CHOOSE(WEEKDAY(Table4[[#This Row],[JoinDate]],2),"Monday","Tuesday","Wednesday","Thursday","Friday","Saturday","Sunday")</f>
        <v>Tuesday</v>
      </c>
      <c r="G12" s="1" t="s">
        <v>41</v>
      </c>
      <c r="H12" s="1">
        <f ca="1">DATEDIF(Table4[[#This Row],[BirthDate]],TODAY(),"y")</f>
        <v>32</v>
      </c>
      <c r="I12" s="2">
        <v>45895</v>
      </c>
      <c r="J12" s="1">
        <v>62000</v>
      </c>
      <c r="K12" s="1">
        <v>81</v>
      </c>
      <c r="O12" s="22" t="s">
        <v>105</v>
      </c>
      <c r="P12">
        <f ca="1">MONTH(P8)</f>
        <v>9</v>
      </c>
    </row>
    <row r="13" spans="1:18" x14ac:dyDescent="0.3">
      <c r="A13" s="1" t="s">
        <v>42</v>
      </c>
      <c r="B13" s="1" t="s">
        <v>43</v>
      </c>
      <c r="C13" s="1" t="s">
        <v>44</v>
      </c>
      <c r="D13" s="1" t="s">
        <v>12</v>
      </c>
      <c r="E13" s="1" t="s">
        <v>45</v>
      </c>
      <c r="F13" s="1" t="str">
        <f>CHOOSE(WEEKDAY(Table4[[#This Row],[JoinDate]],2),"Monday","Tuesday","Wednesday","Thursday","Friday","Saturday","Sunday")</f>
        <v>Wednesday</v>
      </c>
      <c r="G13" s="1" t="s">
        <v>46</v>
      </c>
      <c r="H13" s="1">
        <f ca="1">DATEDIF(Table4[[#This Row],[BirthDate]],TODAY(),"y")</f>
        <v>38</v>
      </c>
      <c r="I13" s="2">
        <v>45896</v>
      </c>
      <c r="J13" s="1">
        <v>58000</v>
      </c>
      <c r="K13" s="1">
        <v>86</v>
      </c>
      <c r="O13" s="22" t="s">
        <v>106</v>
      </c>
      <c r="P13">
        <f ca="1">DAY(P8)</f>
        <v>27</v>
      </c>
      <c r="R13" s="9" t="s">
        <v>107</v>
      </c>
    </row>
    <row r="14" spans="1:18" ht="46.5" customHeight="1" x14ac:dyDescent="0.3">
      <c r="A14" s="1" t="s">
        <v>47</v>
      </c>
      <c r="B14" s="1" t="s">
        <v>16</v>
      </c>
      <c r="C14" s="1" t="s">
        <v>48</v>
      </c>
      <c r="D14" s="1" t="s">
        <v>18</v>
      </c>
      <c r="E14" s="1" t="s">
        <v>49</v>
      </c>
      <c r="F14" s="1" t="str">
        <f>CHOOSE(WEEKDAY(Table4[[#This Row],[JoinDate]],2),"Monday","Tuesday","Wednesday","Thursday","Friday","Saturday","Sunday")</f>
        <v>Saturday</v>
      </c>
      <c r="G14" s="1" t="s">
        <v>50</v>
      </c>
      <c r="H14" s="1">
        <f ca="1">DATEDIF(Table4[[#This Row],[BirthDate]],TODAY(),"y")</f>
        <v>41</v>
      </c>
      <c r="I14" s="2">
        <v>45897</v>
      </c>
      <c r="J14" s="1">
        <v>50000</v>
      </c>
      <c r="K14" s="1">
        <v>79</v>
      </c>
      <c r="O14" s="22" t="s">
        <v>108</v>
      </c>
      <c r="P14">
        <f ca="1">WEEKDAY(P8,2)</f>
        <v>6</v>
      </c>
      <c r="Q14" s="10" t="s">
        <v>109</v>
      </c>
    </row>
    <row r="15" spans="1:18" x14ac:dyDescent="0.3">
      <c r="A15" s="1" t="s">
        <v>51</v>
      </c>
      <c r="B15" s="1" t="s">
        <v>32</v>
      </c>
      <c r="C15" s="1" t="s">
        <v>52</v>
      </c>
      <c r="D15" s="1" t="s">
        <v>34</v>
      </c>
      <c r="E15" s="1" t="s">
        <v>53</v>
      </c>
      <c r="F15" s="1" t="str">
        <f>CHOOSE(WEEKDAY(Table4[[#This Row],[JoinDate]],2),"Monday","Tuesday","Wednesday","Thursday","Friday","Saturday","Sunday")</f>
        <v>Thursday</v>
      </c>
      <c r="G15" s="1" t="s">
        <v>54</v>
      </c>
      <c r="H15" s="1">
        <f ca="1">DATEDIF(Table4[[#This Row],[BirthDate]],TODAY(),"y")</f>
        <v>34</v>
      </c>
      <c r="I15" s="2">
        <v>45898</v>
      </c>
      <c r="J15" s="1">
        <v>72000</v>
      </c>
      <c r="K15" s="1">
        <v>95</v>
      </c>
      <c r="O15" s="22" t="s">
        <v>110</v>
      </c>
      <c r="P15" s="10" t="str">
        <f ca="1">CHOOSE(WEEKDAY(P8,2),"Mon","Tue","wed","thur","Fri","Sat","sun")</f>
        <v>Sat</v>
      </c>
    </row>
    <row r="16" spans="1:18" x14ac:dyDescent="0.3">
      <c r="A16" s="1" t="s">
        <v>55</v>
      </c>
      <c r="B16" s="1" t="s">
        <v>38</v>
      </c>
      <c r="C16" s="1" t="s">
        <v>56</v>
      </c>
      <c r="D16" s="1" t="s">
        <v>24</v>
      </c>
      <c r="E16" s="1" t="s">
        <v>57</v>
      </c>
      <c r="F16" s="1" t="str">
        <f>CHOOSE(WEEKDAY(Table4[[#This Row],[JoinDate]],2),"Monday","Tuesday","Wednesday","Thursday","Friday","Saturday","Sunday")</f>
        <v>Wednesday</v>
      </c>
      <c r="G16" s="1" t="s">
        <v>58</v>
      </c>
      <c r="H16" s="1">
        <f ca="1">DATEDIF(Table4[[#This Row],[BirthDate]],TODAY(),"y")</f>
        <v>36</v>
      </c>
      <c r="I16" s="2">
        <v>45899</v>
      </c>
      <c r="J16" s="1">
        <v>61000</v>
      </c>
      <c r="K16" s="1">
        <v>82</v>
      </c>
      <c r="O16" s="22" t="s">
        <v>111</v>
      </c>
      <c r="P16">
        <f ca="1">DATEDIF(R13,TODAY(),"y")</f>
        <v>3</v>
      </c>
      <c r="Q16" s="8"/>
    </row>
    <row r="17" spans="1:20" x14ac:dyDescent="0.3">
      <c r="A17" s="1" t="s">
        <v>59</v>
      </c>
      <c r="B17" s="1" t="s">
        <v>10</v>
      </c>
      <c r="C17" s="1" t="s">
        <v>60</v>
      </c>
      <c r="D17" s="1" t="s">
        <v>12</v>
      </c>
      <c r="E17" s="1" t="s">
        <v>61</v>
      </c>
      <c r="F17" s="1" t="str">
        <f>CHOOSE(WEEKDAY(Table4[[#This Row],[JoinDate]],2),"Monday","Tuesday","Wednesday","Thursday","Friday","Saturday","Sunday")</f>
        <v>Thursday</v>
      </c>
      <c r="G17" s="1" t="s">
        <v>62</v>
      </c>
      <c r="H17" s="1">
        <f ca="1">DATEDIF(Table4[[#This Row],[BirthDate]],TODAY(),"y")</f>
        <v>33</v>
      </c>
      <c r="I17" s="2">
        <v>45900</v>
      </c>
      <c r="J17" s="1">
        <v>53000</v>
      </c>
      <c r="K17" s="1">
        <v>88</v>
      </c>
      <c r="O17" s="22" t="s">
        <v>112</v>
      </c>
      <c r="P17">
        <f ca="1">DATEDIF(R13,TODAY(),"M")</f>
        <v>39</v>
      </c>
      <c r="Q17">
        <f ca="1">WEEKDAY(P8,2)</f>
        <v>6</v>
      </c>
    </row>
    <row r="18" spans="1:20" x14ac:dyDescent="0.3">
      <c r="A18" s="1" t="s">
        <v>63</v>
      </c>
      <c r="B18" s="1" t="s">
        <v>16</v>
      </c>
      <c r="C18" s="1" t="s">
        <v>64</v>
      </c>
      <c r="D18" s="1" t="s">
        <v>18</v>
      </c>
      <c r="E18" s="1" t="s">
        <v>65</v>
      </c>
      <c r="F18" s="1" t="str">
        <f>CHOOSE(WEEKDAY(Table4[[#This Row],[JoinDate]],2),"Monday","Tuesday","Wednesday","Thursday","Friday","Saturday","Sunday")</f>
        <v>Monday</v>
      </c>
      <c r="G18" s="1" t="s">
        <v>66</v>
      </c>
      <c r="H18" s="1">
        <f ca="1">DATEDIF(Table4[[#This Row],[BirthDate]],TODAY(),"y")</f>
        <v>29</v>
      </c>
      <c r="I18" s="2">
        <v>45901</v>
      </c>
      <c r="J18" s="1">
        <v>47000</v>
      </c>
      <c r="K18" s="1">
        <v>77</v>
      </c>
      <c r="O18" s="22" t="s">
        <v>113</v>
      </c>
      <c r="P18">
        <f ca="1">DATEDIF(G7,P8,"y")</f>
        <v>34</v>
      </c>
    </row>
    <row r="19" spans="1:20" x14ac:dyDescent="0.3">
      <c r="A19" s="1" t="s">
        <v>67</v>
      </c>
      <c r="B19" s="1" t="s">
        <v>32</v>
      </c>
      <c r="C19" s="1" t="s">
        <v>68</v>
      </c>
      <c r="D19" s="1" t="s">
        <v>34</v>
      </c>
      <c r="E19" s="1" t="s">
        <v>69</v>
      </c>
      <c r="F19" s="1" t="str">
        <f>CHOOSE(WEEKDAY(Table4[[#This Row],[JoinDate]],2),"Monday","Tuesday","Wednesday","Thursday","Friday","Saturday","Sunday")</f>
        <v>Saturday</v>
      </c>
      <c r="G19" s="1" t="s">
        <v>70</v>
      </c>
      <c r="H19" s="1">
        <f ca="1">DATEDIF(Table4[[#This Row],[BirthDate]],TODAY(),"y")</f>
        <v>43</v>
      </c>
      <c r="I19" s="2">
        <v>45902</v>
      </c>
      <c r="J19" s="1">
        <v>78000</v>
      </c>
      <c r="K19" s="1">
        <v>91</v>
      </c>
      <c r="P19">
        <f ca="1">DATEDIF(G8,P8,"d")</f>
        <v>13489</v>
      </c>
    </row>
    <row r="20" spans="1:20" x14ac:dyDescent="0.3">
      <c r="A20" s="1" t="s">
        <v>71</v>
      </c>
      <c r="B20" s="1" t="s">
        <v>22</v>
      </c>
      <c r="C20" s="1" t="s">
        <v>72</v>
      </c>
      <c r="D20" s="1" t="s">
        <v>24</v>
      </c>
      <c r="E20" s="1" t="s">
        <v>73</v>
      </c>
      <c r="F20" s="1" t="str">
        <f>CHOOSE(WEEKDAY(Table4[[#This Row],[JoinDate]],2),"Monday","Tuesday","Wednesday","Thursday","Friday","Saturday","Sunday")</f>
        <v>Tuesday</v>
      </c>
      <c r="G20" s="1" t="s">
        <v>74</v>
      </c>
      <c r="H20" s="1">
        <f ca="1">DATEDIF(Table4[[#This Row],[BirthDate]],TODAY(),"y")</f>
        <v>29</v>
      </c>
      <c r="I20" s="2">
        <v>45903</v>
      </c>
      <c r="J20" s="1">
        <v>61000</v>
      </c>
      <c r="K20" s="1">
        <v>84</v>
      </c>
      <c r="R20" s="1"/>
      <c r="S20" s="1"/>
      <c r="T20" s="1"/>
    </row>
    <row r="21" spans="1:20" x14ac:dyDescent="0.3">
      <c r="A21" s="1" t="s">
        <v>75</v>
      </c>
      <c r="B21" s="1" t="s">
        <v>43</v>
      </c>
      <c r="C21" s="1" t="s">
        <v>76</v>
      </c>
      <c r="D21" s="1" t="s">
        <v>12</v>
      </c>
      <c r="E21" s="1" t="s">
        <v>77</v>
      </c>
      <c r="F21" s="1" t="str">
        <f>CHOOSE(WEEKDAY(Table4[[#This Row],[JoinDate]],2),"Monday","Tuesday","Wednesday","Thursday","Friday","Saturday","Sunday")</f>
        <v>Thursday</v>
      </c>
      <c r="G21" s="1" t="s">
        <v>78</v>
      </c>
      <c r="H21" s="1">
        <f ca="1">DATEDIF(Table4[[#This Row],[BirthDate]],TODAY(),"y")</f>
        <v>32</v>
      </c>
      <c r="I21" s="2">
        <v>45904</v>
      </c>
      <c r="J21" s="1">
        <v>54000</v>
      </c>
      <c r="K21" s="1">
        <v>87</v>
      </c>
      <c r="R21" s="1"/>
      <c r="S21" s="1"/>
      <c r="T21" s="1"/>
    </row>
    <row r="22" spans="1:20" x14ac:dyDescent="0.3">
      <c r="A22" s="1" t="s">
        <v>79</v>
      </c>
      <c r="B22" s="1" t="s">
        <v>32</v>
      </c>
      <c r="C22" s="1" t="s">
        <v>80</v>
      </c>
      <c r="D22" s="1" t="s">
        <v>34</v>
      </c>
      <c r="E22" s="1" t="s">
        <v>81</v>
      </c>
      <c r="F22" s="1" t="str">
        <f>CHOOSE(WEEKDAY(Table4[[#This Row],[JoinDate]],2),"Monday","Tuesday","Wednesday","Thursday","Friday","Saturday","Sunday")</f>
        <v>Thursday</v>
      </c>
      <c r="G22" s="1" t="s">
        <v>82</v>
      </c>
      <c r="H22" s="1">
        <f ca="1">DATEDIF(Table4[[#This Row],[BirthDate]],TODAY(),"y")</f>
        <v>35</v>
      </c>
      <c r="I22" s="2">
        <v>45905</v>
      </c>
      <c r="J22" s="1">
        <v>71000</v>
      </c>
      <c r="K22" s="1">
        <v>89</v>
      </c>
      <c r="R22" s="1"/>
      <c r="S22" s="1"/>
      <c r="T22" s="1"/>
    </row>
    <row r="23" spans="1:20" x14ac:dyDescent="0.3">
      <c r="A23" s="1" t="s">
        <v>83</v>
      </c>
      <c r="B23" s="1" t="s">
        <v>16</v>
      </c>
      <c r="C23" s="1" t="s">
        <v>84</v>
      </c>
      <c r="D23" s="1" t="s">
        <v>18</v>
      </c>
      <c r="E23" s="1" t="s">
        <v>85</v>
      </c>
      <c r="F23" s="1" t="str">
        <f>CHOOSE(WEEKDAY(Table4[[#This Row],[JoinDate]],2),"Monday","Tuesday","Wednesday","Thursday","Friday","Saturday","Sunday")</f>
        <v>Saturday</v>
      </c>
      <c r="G23" s="1" t="s">
        <v>86</v>
      </c>
      <c r="H23" s="1">
        <f ca="1">DATEDIF(Table4[[#This Row],[BirthDate]],TODAY(),"y")</f>
        <v>38</v>
      </c>
      <c r="I23" s="2">
        <v>45906</v>
      </c>
      <c r="J23" s="1">
        <v>49000</v>
      </c>
      <c r="K23" s="1">
        <v>80</v>
      </c>
      <c r="R23" s="1"/>
      <c r="S23" s="1"/>
      <c r="T23" s="1"/>
    </row>
    <row r="24" spans="1:20" x14ac:dyDescent="0.3">
      <c r="A24" s="1" t="s">
        <v>87</v>
      </c>
      <c r="B24" s="1" t="s">
        <v>38</v>
      </c>
      <c r="C24" s="1" t="s">
        <v>88</v>
      </c>
      <c r="D24" s="1" t="s">
        <v>24</v>
      </c>
      <c r="E24" s="1" t="s">
        <v>89</v>
      </c>
      <c r="F24" s="1" t="str">
        <f>CHOOSE(WEEKDAY(Table4[[#This Row],[JoinDate]],2),"Monday","Tuesday","Wednesday","Thursday","Friday","Saturday","Sunday")</f>
        <v>Monday</v>
      </c>
      <c r="G24" s="1" t="s">
        <v>90</v>
      </c>
      <c r="H24" s="1">
        <f ca="1">DATEDIF(Table4[[#This Row],[BirthDate]],TODAY(),"y")</f>
        <v>37</v>
      </c>
      <c r="I24" s="2">
        <v>45907</v>
      </c>
      <c r="J24" s="1">
        <v>64000</v>
      </c>
      <c r="K24" s="1">
        <v>93</v>
      </c>
      <c r="O24" s="9">
        <v>35850</v>
      </c>
      <c r="P24" s="9">
        <v>45894</v>
      </c>
      <c r="R24" s="1"/>
      <c r="S24" s="1"/>
      <c r="T24" s="1"/>
    </row>
    <row r="25" spans="1:20" x14ac:dyDescent="0.3">
      <c r="A25" s="1" t="s">
        <v>91</v>
      </c>
      <c r="B25" s="1" t="s">
        <v>10</v>
      </c>
      <c r="C25" s="1" t="s">
        <v>92</v>
      </c>
      <c r="D25" s="1" t="s">
        <v>12</v>
      </c>
      <c r="E25" s="1" t="s">
        <v>93</v>
      </c>
      <c r="F25" s="1" t="str">
        <f>CHOOSE(WEEKDAY(Table4[[#This Row],[JoinDate]],2),"Monday","Tuesday","Wednesday","Thursday","Friday","Saturday","Sunday")</f>
        <v>Tuesday</v>
      </c>
      <c r="G25" s="1" t="s">
        <v>94</v>
      </c>
      <c r="H25" s="1">
        <f ca="1">DATEDIF(Table4[[#This Row],[BirthDate]],TODAY(),"y")</f>
        <v>40</v>
      </c>
      <c r="I25" s="2">
        <v>45908</v>
      </c>
      <c r="J25" s="1">
        <v>56000</v>
      </c>
      <c r="K25" s="1">
        <v>84</v>
      </c>
    </row>
    <row r="26" spans="1:20" x14ac:dyDescent="0.3">
      <c r="A26" s="1" t="s">
        <v>95</v>
      </c>
      <c r="B26" s="1" t="s">
        <v>32</v>
      </c>
      <c r="C26" s="1" t="s">
        <v>96</v>
      </c>
      <c r="D26" s="1" t="s">
        <v>34</v>
      </c>
      <c r="E26" s="1" t="s">
        <v>97</v>
      </c>
      <c r="F26" s="1" t="str">
        <f>CHOOSE(WEEKDAY(Table4[[#This Row],[JoinDate]],2),"Monday","Tuesday","Wednesday","Thursday","Friday","Saturday","Sunday")</f>
        <v>Thursday</v>
      </c>
      <c r="G26" s="1" t="s">
        <v>98</v>
      </c>
      <c r="H26" s="1">
        <f ca="1">DATEDIF(Table4[[#This Row],[BirthDate]],TODAY(),"y")</f>
        <v>38</v>
      </c>
      <c r="I26" s="2">
        <v>45909</v>
      </c>
      <c r="J26" s="1">
        <v>73000</v>
      </c>
      <c r="K26" s="1">
        <v>90</v>
      </c>
    </row>
    <row r="27" spans="1:20" x14ac:dyDescent="0.3">
      <c r="P27">
        <f>DATEDIF(O24,P24,"y")</f>
        <v>27</v>
      </c>
    </row>
    <row r="32" spans="1:20" x14ac:dyDescent="0.3">
      <c r="C32" t="str">
        <f>CHOOSE(2,"Red","orange","blue")</f>
        <v>orange</v>
      </c>
      <c r="F32">
        <f>WEEKDAY(E26,2)</f>
        <v>4</v>
      </c>
    </row>
    <row r="33" spans="3:3" x14ac:dyDescent="0.3">
      <c r="C33" t="str">
        <f>CHOOSE(1,"Red","orange","blue")</f>
        <v>Red</v>
      </c>
    </row>
    <row r="34" spans="3:3" x14ac:dyDescent="0.3">
      <c r="C34" t="str">
        <f>CHOOSE(3,"Red","orange","blue")</f>
        <v>blue</v>
      </c>
    </row>
    <row r="35" spans="3:3" x14ac:dyDescent="0.3">
      <c r="C35" t="str">
        <f>CHOOSE(2,"Red","orange","blue")</f>
        <v>orange</v>
      </c>
    </row>
  </sheetData>
  <mergeCells count="1">
    <mergeCell ref="O6:Q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A1C2-57E2-4F9E-95F2-187E0BE438E3}">
  <dimension ref="A1:I14"/>
  <sheetViews>
    <sheetView workbookViewId="0">
      <selection activeCell="B1" sqref="B1:E2"/>
    </sheetView>
  </sheetViews>
  <sheetFormatPr defaultRowHeight="14.4" x14ac:dyDescent="0.3"/>
  <cols>
    <col min="1" max="1" width="23.5546875" customWidth="1"/>
    <col min="2" max="2" width="22.33203125" customWidth="1"/>
    <col min="3" max="3" width="23.33203125" customWidth="1"/>
    <col min="4" max="4" width="18.88671875" customWidth="1"/>
    <col min="5" max="5" width="26" customWidth="1"/>
  </cols>
  <sheetData>
    <row r="1" spans="1:9" x14ac:dyDescent="0.3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9" x14ac:dyDescent="0.3">
      <c r="A2" s="1" t="s">
        <v>119</v>
      </c>
      <c r="B2" s="1">
        <v>0.12</v>
      </c>
      <c r="C2" s="1">
        <v>0.08</v>
      </c>
      <c r="D2" s="1">
        <v>0.05</v>
      </c>
      <c r="E2" s="1">
        <v>0.02</v>
      </c>
    </row>
    <row r="5" spans="1:9" x14ac:dyDescent="0.3">
      <c r="A5" s="34" t="s">
        <v>120</v>
      </c>
      <c r="B5" s="35"/>
      <c r="C5" s="35"/>
      <c r="E5" t="s">
        <v>115</v>
      </c>
      <c r="F5" t="s">
        <v>116</v>
      </c>
      <c r="G5" t="s">
        <v>117</v>
      </c>
      <c r="H5" t="s">
        <v>118</v>
      </c>
      <c r="I5" t="s">
        <v>121</v>
      </c>
    </row>
    <row r="6" spans="1:9" ht="49.5" customHeight="1" x14ac:dyDescent="0.3">
      <c r="A6" s="35"/>
      <c r="B6" s="35"/>
      <c r="C6" s="35"/>
      <c r="E6">
        <v>0.6</v>
      </c>
      <c r="F6">
        <v>0.7</v>
      </c>
      <c r="G6">
        <v>0.8</v>
      </c>
      <c r="H6">
        <v>0.9</v>
      </c>
      <c r="I6">
        <v>0.95</v>
      </c>
    </row>
    <row r="7" spans="1:9" ht="23.4" x14ac:dyDescent="0.3">
      <c r="A7" s="32"/>
      <c r="B7" s="32"/>
      <c r="C7" s="32"/>
    </row>
    <row r="10" spans="1:9" x14ac:dyDescent="0.3">
      <c r="A10" s="4" t="s">
        <v>122</v>
      </c>
      <c r="B10" s="4" t="s">
        <v>123</v>
      </c>
      <c r="C10" s="6" t="s">
        <v>124</v>
      </c>
    </row>
    <row r="11" spans="1:9" x14ac:dyDescent="0.3">
      <c r="A11" s="1">
        <v>0</v>
      </c>
      <c r="B11" s="1" t="s">
        <v>118</v>
      </c>
      <c r="C11">
        <f>HLOOKUP(Table1[[#This Row],[Grade]],$E$5:$I$6,2)</f>
        <v>0.9</v>
      </c>
    </row>
    <row r="12" spans="1:9" x14ac:dyDescent="0.3">
      <c r="A12" s="1">
        <v>75</v>
      </c>
      <c r="B12" s="1" t="s">
        <v>117</v>
      </c>
      <c r="C12">
        <f>HLOOKUP(Table1[[#This Row],[Grade]],$E$5:$I$6,2)</f>
        <v>0.8</v>
      </c>
    </row>
    <row r="13" spans="1:9" x14ac:dyDescent="0.3">
      <c r="A13" s="1">
        <v>85</v>
      </c>
      <c r="B13" s="1" t="s">
        <v>116</v>
      </c>
      <c r="C13">
        <f>HLOOKUP(Table1[[#This Row],[Grade]],$E$5:$I$6,2)</f>
        <v>0.7</v>
      </c>
    </row>
    <row r="14" spans="1:9" x14ac:dyDescent="0.3">
      <c r="A14" s="1">
        <v>92</v>
      </c>
      <c r="B14" s="1" t="s">
        <v>115</v>
      </c>
      <c r="C14">
        <f>HLOOKUP(Table1[[#This Row],[Grade]],$E$5:$I$6,2)</f>
        <v>0.6</v>
      </c>
    </row>
  </sheetData>
  <mergeCells count="1">
    <mergeCell ref="A5:C6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A401-F6D0-4689-AE5B-03B28CD391BB}">
  <dimension ref="A1:P26"/>
  <sheetViews>
    <sheetView tabSelected="1" workbookViewId="0">
      <selection activeCell="K7" sqref="K7:K26"/>
    </sheetView>
  </sheetViews>
  <sheetFormatPr defaultRowHeight="14.4" x14ac:dyDescent="0.3"/>
  <cols>
    <col min="1" max="1" width="13.88671875" bestFit="1" customWidth="1"/>
    <col min="3" max="3" width="25.88671875" customWidth="1"/>
    <col min="4" max="4" width="12" bestFit="1" customWidth="1"/>
    <col min="5" max="5" width="20" customWidth="1"/>
    <col min="6" max="6" width="21.6640625" customWidth="1"/>
    <col min="7" max="7" width="18.33203125" customWidth="1"/>
    <col min="8" max="8" width="17.44140625" customWidth="1"/>
    <col min="9" max="9" width="26.6640625" customWidth="1"/>
    <col min="10" max="10" width="68.44140625" customWidth="1"/>
    <col min="11" max="11" width="36.109375" customWidth="1"/>
    <col min="13" max="13" width="22.6640625" customWidth="1"/>
    <col min="14" max="14" width="23.33203125" customWidth="1"/>
    <col min="15" max="15" width="26.6640625" customWidth="1"/>
    <col min="16" max="16" width="15.6640625" customWidth="1"/>
  </cols>
  <sheetData>
    <row r="1" spans="1:16" x14ac:dyDescent="0.3">
      <c r="A1" s="1"/>
      <c r="B1" s="1"/>
      <c r="C1" s="1"/>
      <c r="D1" s="1"/>
      <c r="E1" s="1"/>
      <c r="F1" s="1"/>
      <c r="G1" s="2"/>
      <c r="H1" s="1"/>
      <c r="I1" s="1"/>
    </row>
    <row r="2" spans="1:16" ht="81.75" customHeight="1" x14ac:dyDescent="0.3">
      <c r="A2" s="1"/>
      <c r="B2" s="1"/>
      <c r="C2" s="1"/>
      <c r="D2" s="1"/>
      <c r="E2" s="1"/>
      <c r="F2" s="1"/>
      <c r="G2" s="2"/>
      <c r="H2" s="1"/>
      <c r="I2" s="1"/>
      <c r="J2" s="15" t="s">
        <v>125</v>
      </c>
      <c r="M2" s="3" t="s">
        <v>3</v>
      </c>
      <c r="N2" s="3" t="s">
        <v>126</v>
      </c>
      <c r="O2" s="3" t="s">
        <v>127</v>
      </c>
      <c r="P2" s="3" t="s">
        <v>128</v>
      </c>
    </row>
    <row r="3" spans="1:16" x14ac:dyDescent="0.3">
      <c r="A3" s="1"/>
      <c r="B3" s="1"/>
      <c r="C3" s="1"/>
      <c r="D3" s="1"/>
      <c r="E3" s="1"/>
      <c r="F3" s="1"/>
      <c r="G3" s="2"/>
      <c r="H3" s="1"/>
      <c r="I3" s="1"/>
      <c r="J3" s="1"/>
      <c r="M3" s="1" t="s">
        <v>12</v>
      </c>
      <c r="N3" s="1" t="s">
        <v>129</v>
      </c>
      <c r="O3" s="1" t="s">
        <v>130</v>
      </c>
      <c r="P3" s="1" t="s">
        <v>131</v>
      </c>
    </row>
    <row r="4" spans="1:16" x14ac:dyDescent="0.3">
      <c r="A4" s="1"/>
      <c r="B4" s="1"/>
      <c r="C4" s="1"/>
      <c r="D4" s="1"/>
      <c r="E4" s="1"/>
      <c r="F4" s="1"/>
      <c r="G4" s="2"/>
      <c r="H4" s="1"/>
      <c r="I4" s="1"/>
      <c r="M4" s="1" t="s">
        <v>18</v>
      </c>
      <c r="N4" s="1" t="s">
        <v>132</v>
      </c>
      <c r="O4" s="1" t="s">
        <v>133</v>
      </c>
      <c r="P4" s="1" t="s">
        <v>134</v>
      </c>
    </row>
    <row r="5" spans="1:16" x14ac:dyDescent="0.3">
      <c r="A5" s="1"/>
      <c r="B5" s="1"/>
      <c r="C5" s="1"/>
      <c r="D5" s="1"/>
      <c r="E5" s="1"/>
      <c r="F5" s="1"/>
      <c r="G5" s="2"/>
      <c r="H5" s="1"/>
      <c r="I5" s="1"/>
      <c r="M5" s="1" t="s">
        <v>24</v>
      </c>
      <c r="N5" s="1" t="s">
        <v>135</v>
      </c>
      <c r="O5" s="1" t="s">
        <v>136</v>
      </c>
      <c r="P5" s="1" t="s">
        <v>137</v>
      </c>
    </row>
    <row r="6" spans="1:16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5" t="s">
        <v>6</v>
      </c>
      <c r="H6" s="4" t="s">
        <v>7</v>
      </c>
      <c r="I6" s="4" t="s">
        <v>8</v>
      </c>
      <c r="J6" s="6" t="s">
        <v>138</v>
      </c>
      <c r="K6" s="6" t="s">
        <v>114</v>
      </c>
      <c r="M6" s="1" t="s">
        <v>34</v>
      </c>
      <c r="N6" s="1" t="s">
        <v>139</v>
      </c>
      <c r="O6" s="1" t="s">
        <v>140</v>
      </c>
      <c r="P6" s="1" t="s">
        <v>141</v>
      </c>
    </row>
    <row r="7" spans="1:16" x14ac:dyDescent="0.3">
      <c r="A7" s="1" t="s">
        <v>9</v>
      </c>
      <c r="B7" s="1" t="s">
        <v>10</v>
      </c>
      <c r="C7" s="1" t="s">
        <v>11</v>
      </c>
      <c r="D7" s="1" t="s">
        <v>12</v>
      </c>
      <c r="E7" s="2">
        <v>43595</v>
      </c>
      <c r="F7" s="1" t="s">
        <v>14</v>
      </c>
      <c r="G7" s="2">
        <v>45890.395833333336</v>
      </c>
      <c r="H7" s="1">
        <v>52000</v>
      </c>
      <c r="I7" s="1">
        <v>85</v>
      </c>
      <c r="K7" s="1"/>
    </row>
    <row r="8" spans="1:16" x14ac:dyDescent="0.3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2">
        <v>45891</v>
      </c>
      <c r="H8" s="1">
        <v>48000</v>
      </c>
      <c r="I8" s="1">
        <v>90</v>
      </c>
      <c r="K8" s="1"/>
    </row>
    <row r="9" spans="1:16" x14ac:dyDescent="0.3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2">
        <v>45892</v>
      </c>
      <c r="H9" s="1">
        <v>60000</v>
      </c>
      <c r="I9" s="1">
        <v>78</v>
      </c>
      <c r="K9" s="1"/>
    </row>
    <row r="10" spans="1:16" x14ac:dyDescent="0.3">
      <c r="A10" s="1" t="s">
        <v>27</v>
      </c>
      <c r="B10" s="1" t="s">
        <v>10</v>
      </c>
      <c r="C10" s="1" t="s">
        <v>28</v>
      </c>
      <c r="D10" s="1" t="s">
        <v>12</v>
      </c>
      <c r="E10" s="1" t="s">
        <v>29</v>
      </c>
      <c r="F10" s="1" t="s">
        <v>30</v>
      </c>
      <c r="G10" s="2">
        <v>45893</v>
      </c>
      <c r="H10" s="1">
        <v>55000</v>
      </c>
      <c r="I10" s="1">
        <v>88</v>
      </c>
      <c r="K10" s="1"/>
    </row>
    <row r="11" spans="1:16" x14ac:dyDescent="0.3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36</v>
      </c>
      <c r="G11" s="2">
        <v>45894</v>
      </c>
      <c r="H11" s="1">
        <v>75000</v>
      </c>
      <c r="I11" s="1">
        <v>92</v>
      </c>
      <c r="K11" s="1"/>
    </row>
    <row r="12" spans="1:16" x14ac:dyDescent="0.3">
      <c r="A12" s="1" t="s">
        <v>37</v>
      </c>
      <c r="B12" s="1" t="s">
        <v>38</v>
      </c>
      <c r="C12" s="1" t="s">
        <v>39</v>
      </c>
      <c r="D12" s="1" t="s">
        <v>24</v>
      </c>
      <c r="E12" s="1" t="s">
        <v>40</v>
      </c>
      <c r="F12" s="1" t="s">
        <v>41</v>
      </c>
      <c r="G12" s="2">
        <v>45895</v>
      </c>
      <c r="H12" s="1">
        <v>62000</v>
      </c>
      <c r="I12" s="1">
        <v>81</v>
      </c>
      <c r="K12" s="1"/>
    </row>
    <row r="13" spans="1:16" x14ac:dyDescent="0.3">
      <c r="A13" s="1" t="s">
        <v>42</v>
      </c>
      <c r="B13" s="1" t="s">
        <v>43</v>
      </c>
      <c r="C13" s="1" t="s">
        <v>44</v>
      </c>
      <c r="D13" s="1" t="s">
        <v>12</v>
      </c>
      <c r="E13" s="1" t="s">
        <v>45</v>
      </c>
      <c r="F13" s="1" t="s">
        <v>46</v>
      </c>
      <c r="G13" s="2">
        <v>45896</v>
      </c>
      <c r="H13" s="1">
        <v>58000</v>
      </c>
      <c r="I13" s="1">
        <v>86</v>
      </c>
      <c r="K13" s="1"/>
    </row>
    <row r="14" spans="1:16" x14ac:dyDescent="0.3">
      <c r="A14" s="1" t="s">
        <v>47</v>
      </c>
      <c r="B14" s="1" t="s">
        <v>16</v>
      </c>
      <c r="C14" s="1" t="s">
        <v>48</v>
      </c>
      <c r="D14" s="1" t="s">
        <v>18</v>
      </c>
      <c r="E14" s="1" t="s">
        <v>49</v>
      </c>
      <c r="F14" s="1" t="s">
        <v>50</v>
      </c>
      <c r="G14" s="2">
        <v>45897</v>
      </c>
      <c r="H14" s="1">
        <v>50000</v>
      </c>
      <c r="I14" s="1">
        <v>79</v>
      </c>
      <c r="K14" s="1"/>
    </row>
    <row r="15" spans="1:16" x14ac:dyDescent="0.3">
      <c r="A15" s="1" t="s">
        <v>51</v>
      </c>
      <c r="B15" s="1" t="s">
        <v>32</v>
      </c>
      <c r="C15" s="1" t="s">
        <v>52</v>
      </c>
      <c r="D15" s="1" t="s">
        <v>34</v>
      </c>
      <c r="E15" s="1" t="s">
        <v>53</v>
      </c>
      <c r="F15" s="1" t="s">
        <v>54</v>
      </c>
      <c r="G15" s="2">
        <v>45898</v>
      </c>
      <c r="H15" s="1">
        <v>72000</v>
      </c>
      <c r="I15" s="1">
        <v>95</v>
      </c>
      <c r="K15" s="1"/>
    </row>
    <row r="16" spans="1:16" x14ac:dyDescent="0.3">
      <c r="A16" s="1" t="s">
        <v>55</v>
      </c>
      <c r="B16" s="1" t="s">
        <v>38</v>
      </c>
      <c r="C16" s="1" t="s">
        <v>56</v>
      </c>
      <c r="D16" s="1" t="s">
        <v>24</v>
      </c>
      <c r="E16" s="1" t="s">
        <v>57</v>
      </c>
      <c r="F16" s="1" t="s">
        <v>58</v>
      </c>
      <c r="G16" s="2">
        <v>45899</v>
      </c>
      <c r="H16" s="1">
        <v>61000</v>
      </c>
      <c r="I16" s="1">
        <v>82</v>
      </c>
      <c r="K16" s="1"/>
    </row>
    <row r="17" spans="1:11" x14ac:dyDescent="0.3">
      <c r="A17" s="1" t="s">
        <v>59</v>
      </c>
      <c r="B17" s="1" t="s">
        <v>10</v>
      </c>
      <c r="C17" s="1" t="s">
        <v>60</v>
      </c>
      <c r="D17" s="1" t="s">
        <v>12</v>
      </c>
      <c r="E17" s="1" t="s">
        <v>61</v>
      </c>
      <c r="F17" s="1" t="s">
        <v>62</v>
      </c>
      <c r="G17" s="2">
        <v>45900</v>
      </c>
      <c r="H17" s="1">
        <v>53000</v>
      </c>
      <c r="I17" s="1">
        <v>88</v>
      </c>
      <c r="K17" s="1"/>
    </row>
    <row r="18" spans="1:11" x14ac:dyDescent="0.3">
      <c r="A18" s="1" t="s">
        <v>63</v>
      </c>
      <c r="B18" s="1" t="s">
        <v>16</v>
      </c>
      <c r="C18" s="1" t="s">
        <v>64</v>
      </c>
      <c r="D18" s="1" t="s">
        <v>18</v>
      </c>
      <c r="E18" s="1" t="s">
        <v>65</v>
      </c>
      <c r="F18" s="1" t="s">
        <v>66</v>
      </c>
      <c r="G18" s="2">
        <v>45901</v>
      </c>
      <c r="H18" s="1">
        <v>47000</v>
      </c>
      <c r="I18" s="1">
        <v>77</v>
      </c>
      <c r="K18" s="1"/>
    </row>
    <row r="19" spans="1:11" x14ac:dyDescent="0.3">
      <c r="A19" s="1" t="s">
        <v>67</v>
      </c>
      <c r="B19" s="1" t="s">
        <v>32</v>
      </c>
      <c r="C19" s="1" t="s">
        <v>68</v>
      </c>
      <c r="D19" s="1" t="s">
        <v>34</v>
      </c>
      <c r="E19" s="1" t="s">
        <v>69</v>
      </c>
      <c r="F19" s="1" t="s">
        <v>70</v>
      </c>
      <c r="G19" s="2">
        <v>45902</v>
      </c>
      <c r="H19" s="1">
        <v>78000</v>
      </c>
      <c r="I19" s="1">
        <v>91</v>
      </c>
      <c r="K19" s="1"/>
    </row>
    <row r="20" spans="1:11" x14ac:dyDescent="0.3">
      <c r="A20" s="1" t="s">
        <v>71</v>
      </c>
      <c r="B20" s="1" t="s">
        <v>22</v>
      </c>
      <c r="C20" s="1" t="s">
        <v>72</v>
      </c>
      <c r="D20" s="1" t="s">
        <v>24</v>
      </c>
      <c r="E20" s="1" t="s">
        <v>73</v>
      </c>
      <c r="F20" s="1" t="s">
        <v>74</v>
      </c>
      <c r="G20" s="2">
        <v>45903</v>
      </c>
      <c r="H20" s="1">
        <v>61000</v>
      </c>
      <c r="I20" s="1">
        <v>84</v>
      </c>
      <c r="K20" s="1"/>
    </row>
    <row r="21" spans="1:11" x14ac:dyDescent="0.3">
      <c r="A21" s="1" t="s">
        <v>75</v>
      </c>
      <c r="B21" s="1" t="s">
        <v>43</v>
      </c>
      <c r="C21" s="1" t="s">
        <v>76</v>
      </c>
      <c r="D21" s="1" t="s">
        <v>12</v>
      </c>
      <c r="E21" s="1" t="s">
        <v>77</v>
      </c>
      <c r="F21" s="1" t="s">
        <v>78</v>
      </c>
      <c r="G21" s="2">
        <v>45904</v>
      </c>
      <c r="H21" s="1">
        <v>54000</v>
      </c>
      <c r="I21" s="1">
        <v>87</v>
      </c>
      <c r="K21" s="1"/>
    </row>
    <row r="22" spans="1:11" x14ac:dyDescent="0.3">
      <c r="A22" s="1" t="s">
        <v>79</v>
      </c>
      <c r="B22" s="1" t="s">
        <v>32</v>
      </c>
      <c r="C22" s="1" t="s">
        <v>80</v>
      </c>
      <c r="D22" s="1" t="s">
        <v>34</v>
      </c>
      <c r="E22" s="1" t="s">
        <v>81</v>
      </c>
      <c r="F22" s="1" t="s">
        <v>82</v>
      </c>
      <c r="G22" s="2">
        <v>45905</v>
      </c>
      <c r="H22" s="1">
        <v>71000</v>
      </c>
      <c r="I22" s="1">
        <v>89</v>
      </c>
      <c r="K22" s="1"/>
    </row>
    <row r="23" spans="1:11" x14ac:dyDescent="0.3">
      <c r="A23" s="1" t="s">
        <v>83</v>
      </c>
      <c r="B23" s="1" t="s">
        <v>16</v>
      </c>
      <c r="C23" s="1" t="s">
        <v>84</v>
      </c>
      <c r="D23" s="1" t="s">
        <v>18</v>
      </c>
      <c r="E23" s="1" t="s">
        <v>85</v>
      </c>
      <c r="F23" s="1" t="s">
        <v>86</v>
      </c>
      <c r="G23" s="2">
        <v>45906</v>
      </c>
      <c r="H23" s="1">
        <v>49000</v>
      </c>
      <c r="I23" s="1">
        <v>80</v>
      </c>
      <c r="K23" s="1"/>
    </row>
    <row r="24" spans="1:11" x14ac:dyDescent="0.3">
      <c r="A24" s="1" t="s">
        <v>87</v>
      </c>
      <c r="B24" s="1" t="s">
        <v>38</v>
      </c>
      <c r="C24" s="1" t="s">
        <v>88</v>
      </c>
      <c r="D24" s="1" t="s">
        <v>24</v>
      </c>
      <c r="E24" s="1" t="s">
        <v>89</v>
      </c>
      <c r="F24" s="1" t="s">
        <v>90</v>
      </c>
      <c r="G24" s="2">
        <v>45907</v>
      </c>
      <c r="H24" s="1">
        <v>64000</v>
      </c>
      <c r="I24" s="1">
        <v>93</v>
      </c>
      <c r="K24" s="1"/>
    </row>
    <row r="25" spans="1:11" x14ac:dyDescent="0.3">
      <c r="A25" s="1" t="s">
        <v>91</v>
      </c>
      <c r="B25" s="1" t="s">
        <v>10</v>
      </c>
      <c r="C25" s="1" t="s">
        <v>92</v>
      </c>
      <c r="D25" s="1" t="s">
        <v>12</v>
      </c>
      <c r="E25" s="1" t="s">
        <v>93</v>
      </c>
      <c r="F25" s="1" t="s">
        <v>94</v>
      </c>
      <c r="G25" s="2">
        <v>45908</v>
      </c>
      <c r="H25" s="1">
        <v>56000</v>
      </c>
      <c r="I25" s="1">
        <v>84</v>
      </c>
      <c r="K25" s="1"/>
    </row>
    <row r="26" spans="1:11" x14ac:dyDescent="0.3">
      <c r="A26" s="1" t="s">
        <v>95</v>
      </c>
      <c r="B26" s="1" t="s">
        <v>32</v>
      </c>
      <c r="C26" s="1" t="s">
        <v>96</v>
      </c>
      <c r="D26" s="1" t="s">
        <v>34</v>
      </c>
      <c r="E26" s="1" t="s">
        <v>97</v>
      </c>
      <c r="F26" s="1" t="s">
        <v>98</v>
      </c>
      <c r="G26" s="2">
        <v>45909</v>
      </c>
      <c r="H26" s="1">
        <v>73000</v>
      </c>
      <c r="I26" s="1">
        <v>90</v>
      </c>
      <c r="K26" s="1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8CB1-341E-420D-AF92-93CB40DE5761}">
  <dimension ref="A1:O26"/>
  <sheetViews>
    <sheetView topLeftCell="I1" workbookViewId="0">
      <selection activeCell="K7" sqref="K7:K26"/>
    </sheetView>
  </sheetViews>
  <sheetFormatPr defaultRowHeight="14.4" x14ac:dyDescent="0.3"/>
  <cols>
    <col min="4" max="4" width="16.44140625" customWidth="1"/>
    <col min="5" max="5" width="17.109375" customWidth="1"/>
    <col min="6" max="6" width="19" customWidth="1"/>
    <col min="7" max="7" width="16.44140625" style="9" customWidth="1"/>
    <col min="8" max="8" width="14.109375" customWidth="1"/>
    <col min="9" max="9" width="14" customWidth="1"/>
    <col min="10" max="11" width="47.109375" customWidth="1"/>
    <col min="12" max="12" width="15.5546875" customWidth="1"/>
    <col min="13" max="13" width="17.6640625" customWidth="1"/>
    <col min="14" max="14" width="18.88671875" customWidth="1"/>
  </cols>
  <sheetData>
    <row r="1" spans="1:15" ht="15" customHeight="1" x14ac:dyDescent="0.3">
      <c r="A1" s="1"/>
      <c r="B1" s="1"/>
      <c r="C1" s="1"/>
      <c r="D1" s="1"/>
      <c r="E1" s="1"/>
      <c r="F1" s="1"/>
      <c r="G1" s="2"/>
      <c r="H1" s="1"/>
      <c r="I1" s="1"/>
    </row>
    <row r="2" spans="1:15" ht="80.400000000000006" customHeight="1" x14ac:dyDescent="0.3">
      <c r="A2" s="1"/>
      <c r="B2" s="1"/>
      <c r="C2" s="1"/>
      <c r="D2" s="1"/>
      <c r="E2" s="1"/>
      <c r="F2" s="1"/>
      <c r="G2" s="2"/>
      <c r="H2" s="1"/>
      <c r="I2" s="1"/>
      <c r="J2" s="15" t="s">
        <v>142</v>
      </c>
      <c r="K2" s="15"/>
      <c r="L2" s="3" t="s">
        <v>3</v>
      </c>
      <c r="M2" s="3" t="s">
        <v>126</v>
      </c>
      <c r="N2" s="3" t="s">
        <v>127</v>
      </c>
      <c r="O2" s="3" t="s">
        <v>128</v>
      </c>
    </row>
    <row r="3" spans="1:15" ht="15" customHeight="1" x14ac:dyDescent="0.3">
      <c r="A3" s="1"/>
      <c r="B3" s="1"/>
      <c r="C3" s="1"/>
      <c r="D3" s="1"/>
      <c r="E3" s="1"/>
      <c r="F3" s="1"/>
      <c r="G3" s="2"/>
      <c r="H3" s="1"/>
      <c r="I3" s="1"/>
      <c r="L3" s="1" t="s">
        <v>12</v>
      </c>
      <c r="M3" s="1" t="s">
        <v>129</v>
      </c>
      <c r="N3" s="1" t="s">
        <v>130</v>
      </c>
      <c r="O3" s="1" t="s">
        <v>131</v>
      </c>
    </row>
    <row r="4" spans="1:15" ht="15" customHeight="1" x14ac:dyDescent="0.3">
      <c r="A4" s="1"/>
      <c r="B4" s="1"/>
      <c r="C4" s="1"/>
      <c r="D4" s="1"/>
      <c r="E4" s="1"/>
      <c r="F4" s="1"/>
      <c r="G4" s="2"/>
      <c r="H4" s="1"/>
      <c r="I4" s="1"/>
      <c r="L4" s="1" t="s">
        <v>18</v>
      </c>
      <c r="M4" s="1" t="s">
        <v>132</v>
      </c>
      <c r="N4" s="1" t="s">
        <v>133</v>
      </c>
      <c r="O4" s="1" t="s">
        <v>134</v>
      </c>
    </row>
    <row r="5" spans="1:15" ht="15" customHeight="1" x14ac:dyDescent="0.3">
      <c r="A5" s="1"/>
      <c r="B5" s="1"/>
      <c r="C5" s="1"/>
      <c r="D5" s="1"/>
      <c r="E5" s="1"/>
      <c r="F5" s="1"/>
      <c r="G5" s="2"/>
      <c r="H5" s="1"/>
      <c r="I5" s="1"/>
      <c r="L5" s="1" t="s">
        <v>24</v>
      </c>
      <c r="M5" s="1" t="s">
        <v>135</v>
      </c>
      <c r="N5" s="1" t="s">
        <v>136</v>
      </c>
      <c r="O5" s="1" t="s">
        <v>137</v>
      </c>
    </row>
    <row r="6" spans="1:15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5" t="s">
        <v>6</v>
      </c>
      <c r="H6" s="4" t="s">
        <v>7</v>
      </c>
      <c r="I6" s="4" t="s">
        <v>8</v>
      </c>
      <c r="J6" s="6" t="s">
        <v>127</v>
      </c>
      <c r="K6" s="6" t="s">
        <v>143</v>
      </c>
      <c r="L6" s="19" t="s">
        <v>34</v>
      </c>
      <c r="M6" s="20" t="s">
        <v>139</v>
      </c>
      <c r="N6" s="20" t="s">
        <v>140</v>
      </c>
      <c r="O6" s="21" t="s">
        <v>141</v>
      </c>
    </row>
    <row r="7" spans="1:15" x14ac:dyDescent="0.3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2">
        <v>45890.395833333336</v>
      </c>
      <c r="H7" s="1">
        <v>52000</v>
      </c>
      <c r="I7" s="1">
        <v>85</v>
      </c>
      <c r="J7" s="1" t="str">
        <f t="shared" ref="J7:J26" si="0">_xlfn.XLOOKUP(D7,$L$3:$L$6,$N$3:$N$6,"unknown")</f>
        <v>Anita Verma</v>
      </c>
      <c r="K7" s="1"/>
    </row>
    <row r="8" spans="1:15" x14ac:dyDescent="0.3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2">
        <v>45891</v>
      </c>
      <c r="H8" s="1">
        <v>48000</v>
      </c>
      <c r="I8" s="1">
        <v>90</v>
      </c>
      <c r="J8" s="1" t="str">
        <f t="shared" si="0"/>
        <v>Vijay Rao</v>
      </c>
      <c r="K8" s="1"/>
    </row>
    <row r="9" spans="1:15" x14ac:dyDescent="0.3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2">
        <v>45892</v>
      </c>
      <c r="H9" s="1">
        <v>60000</v>
      </c>
      <c r="I9" s="1">
        <v>78</v>
      </c>
      <c r="J9" s="1" t="str">
        <f t="shared" si="0"/>
        <v>Meera Iyer</v>
      </c>
      <c r="K9" s="1"/>
    </row>
    <row r="10" spans="1:15" x14ac:dyDescent="0.3">
      <c r="A10" s="1" t="s">
        <v>27</v>
      </c>
      <c r="B10" s="1" t="s">
        <v>10</v>
      </c>
      <c r="C10" s="1" t="s">
        <v>28</v>
      </c>
      <c r="D10" s="1" t="s">
        <v>12</v>
      </c>
      <c r="E10" s="1" t="s">
        <v>29</v>
      </c>
      <c r="F10" s="1" t="s">
        <v>30</v>
      </c>
      <c r="G10" s="2">
        <v>45893</v>
      </c>
      <c r="H10" s="1">
        <v>55000</v>
      </c>
      <c r="I10" s="1">
        <v>88</v>
      </c>
      <c r="J10" s="1" t="str">
        <f t="shared" si="0"/>
        <v>Anita Verma</v>
      </c>
      <c r="K10" s="1"/>
    </row>
    <row r="11" spans="1:15" x14ac:dyDescent="0.3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36</v>
      </c>
      <c r="G11" s="2">
        <v>45894</v>
      </c>
      <c r="H11" s="1">
        <v>75000</v>
      </c>
      <c r="I11" s="1">
        <v>92</v>
      </c>
      <c r="J11" s="1" t="str">
        <f t="shared" si="0"/>
        <v>Arun Sharma</v>
      </c>
      <c r="K11" s="1"/>
    </row>
    <row r="12" spans="1:15" x14ac:dyDescent="0.3">
      <c r="A12" s="1" t="s">
        <v>37</v>
      </c>
      <c r="B12" s="1" t="s">
        <v>38</v>
      </c>
      <c r="C12" s="1" t="s">
        <v>39</v>
      </c>
      <c r="D12" s="1" t="s">
        <v>24</v>
      </c>
      <c r="E12" s="1" t="s">
        <v>40</v>
      </c>
      <c r="F12" s="1" t="s">
        <v>41</v>
      </c>
      <c r="G12" s="2">
        <v>45895</v>
      </c>
      <c r="H12" s="1">
        <v>62000</v>
      </c>
      <c r="I12" s="1">
        <v>81</v>
      </c>
      <c r="J12" s="1" t="str">
        <f t="shared" si="0"/>
        <v>Meera Iyer</v>
      </c>
      <c r="K12" s="1"/>
    </row>
    <row r="13" spans="1:15" x14ac:dyDescent="0.3">
      <c r="A13" s="1" t="s">
        <v>42</v>
      </c>
      <c r="B13" s="1" t="s">
        <v>43</v>
      </c>
      <c r="C13" s="1" t="s">
        <v>44</v>
      </c>
      <c r="D13" s="1" t="s">
        <v>12</v>
      </c>
      <c r="E13" s="1" t="s">
        <v>45</v>
      </c>
      <c r="F13" s="1" t="s">
        <v>46</v>
      </c>
      <c r="G13" s="2">
        <v>45896</v>
      </c>
      <c r="H13" s="1">
        <v>58000</v>
      </c>
      <c r="I13" s="1">
        <v>86</v>
      </c>
      <c r="J13" s="1" t="str">
        <f t="shared" si="0"/>
        <v>Anita Verma</v>
      </c>
      <c r="K13" s="1"/>
    </row>
    <row r="14" spans="1:15" x14ac:dyDescent="0.3">
      <c r="A14" s="1" t="s">
        <v>47</v>
      </c>
      <c r="B14" s="1" t="s">
        <v>16</v>
      </c>
      <c r="C14" s="1" t="s">
        <v>48</v>
      </c>
      <c r="D14" s="1" t="s">
        <v>18</v>
      </c>
      <c r="E14" s="1" t="s">
        <v>49</v>
      </c>
      <c r="F14" s="1" t="s">
        <v>50</v>
      </c>
      <c r="G14" s="2">
        <v>45897</v>
      </c>
      <c r="H14" s="1">
        <v>50000</v>
      </c>
      <c r="I14" s="1">
        <v>79</v>
      </c>
      <c r="J14" s="1" t="str">
        <f t="shared" si="0"/>
        <v>Vijay Rao</v>
      </c>
      <c r="K14" s="1"/>
    </row>
    <row r="15" spans="1:15" x14ac:dyDescent="0.3">
      <c r="A15" s="1" t="s">
        <v>51</v>
      </c>
      <c r="B15" s="1" t="s">
        <v>32</v>
      </c>
      <c r="C15" s="1" t="s">
        <v>52</v>
      </c>
      <c r="D15" s="1" t="s">
        <v>34</v>
      </c>
      <c r="E15" s="1" t="s">
        <v>53</v>
      </c>
      <c r="F15" s="1" t="s">
        <v>54</v>
      </c>
      <c r="G15" s="2">
        <v>45898</v>
      </c>
      <c r="H15" s="1">
        <v>72000</v>
      </c>
      <c r="I15" s="1">
        <v>95</v>
      </c>
      <c r="J15" s="1" t="str">
        <f t="shared" si="0"/>
        <v>Arun Sharma</v>
      </c>
      <c r="K15" s="1"/>
    </row>
    <row r="16" spans="1:15" x14ac:dyDescent="0.3">
      <c r="A16" s="1" t="s">
        <v>55</v>
      </c>
      <c r="B16" s="1" t="s">
        <v>38</v>
      </c>
      <c r="C16" s="1" t="s">
        <v>56</v>
      </c>
      <c r="D16" s="1" t="s">
        <v>24</v>
      </c>
      <c r="E16" s="1" t="s">
        <v>57</v>
      </c>
      <c r="F16" s="1" t="s">
        <v>58</v>
      </c>
      <c r="G16" s="2">
        <v>45899</v>
      </c>
      <c r="H16" s="1">
        <v>61000</v>
      </c>
      <c r="I16" s="1">
        <v>82</v>
      </c>
      <c r="J16" s="1" t="str">
        <f t="shared" si="0"/>
        <v>Meera Iyer</v>
      </c>
      <c r="K16" s="1"/>
    </row>
    <row r="17" spans="1:11" x14ac:dyDescent="0.3">
      <c r="A17" s="1" t="s">
        <v>59</v>
      </c>
      <c r="B17" s="1" t="s">
        <v>10</v>
      </c>
      <c r="C17" s="1" t="s">
        <v>60</v>
      </c>
      <c r="D17" s="1" t="s">
        <v>12</v>
      </c>
      <c r="E17" s="1" t="s">
        <v>61</v>
      </c>
      <c r="F17" s="1" t="s">
        <v>62</v>
      </c>
      <c r="G17" s="2">
        <v>45900</v>
      </c>
      <c r="H17" s="1">
        <v>53000</v>
      </c>
      <c r="I17" s="1">
        <v>88</v>
      </c>
      <c r="J17" s="1" t="str">
        <f t="shared" si="0"/>
        <v>Anita Verma</v>
      </c>
      <c r="K17" s="1"/>
    </row>
    <row r="18" spans="1:11" x14ac:dyDescent="0.3">
      <c r="A18" s="1" t="s">
        <v>63</v>
      </c>
      <c r="B18" s="1" t="s">
        <v>16</v>
      </c>
      <c r="C18" s="1" t="s">
        <v>64</v>
      </c>
      <c r="D18" s="1" t="s">
        <v>18</v>
      </c>
      <c r="E18" s="1" t="s">
        <v>65</v>
      </c>
      <c r="F18" s="1" t="s">
        <v>66</v>
      </c>
      <c r="G18" s="2">
        <v>45901</v>
      </c>
      <c r="H18" s="1">
        <v>47000</v>
      </c>
      <c r="I18" s="1">
        <v>77</v>
      </c>
      <c r="J18" s="1" t="str">
        <f t="shared" si="0"/>
        <v>Vijay Rao</v>
      </c>
      <c r="K18" s="1"/>
    </row>
    <row r="19" spans="1:11" x14ac:dyDescent="0.3">
      <c r="A19" s="1" t="s">
        <v>67</v>
      </c>
      <c r="B19" s="1" t="s">
        <v>32</v>
      </c>
      <c r="C19" s="1" t="s">
        <v>68</v>
      </c>
      <c r="D19" s="1" t="s">
        <v>34</v>
      </c>
      <c r="E19" s="1" t="s">
        <v>69</v>
      </c>
      <c r="F19" s="1" t="s">
        <v>70</v>
      </c>
      <c r="G19" s="2">
        <v>45902</v>
      </c>
      <c r="H19" s="1">
        <v>78000</v>
      </c>
      <c r="I19" s="1">
        <v>91</v>
      </c>
      <c r="J19" s="1" t="str">
        <f t="shared" si="0"/>
        <v>Arun Sharma</v>
      </c>
      <c r="K19" s="1"/>
    </row>
    <row r="20" spans="1:11" x14ac:dyDescent="0.3">
      <c r="A20" s="1" t="s">
        <v>71</v>
      </c>
      <c r="B20" s="1" t="s">
        <v>22</v>
      </c>
      <c r="C20" s="1" t="s">
        <v>72</v>
      </c>
      <c r="D20" s="1" t="s">
        <v>24</v>
      </c>
      <c r="E20" s="1" t="s">
        <v>73</v>
      </c>
      <c r="F20" s="1" t="s">
        <v>74</v>
      </c>
      <c r="G20" s="2">
        <v>45903</v>
      </c>
      <c r="H20" s="1">
        <v>61000</v>
      </c>
      <c r="I20" s="1">
        <v>84</v>
      </c>
      <c r="J20" s="1" t="str">
        <f t="shared" si="0"/>
        <v>Meera Iyer</v>
      </c>
      <c r="K20" s="1"/>
    </row>
    <row r="21" spans="1:11" x14ac:dyDescent="0.3">
      <c r="A21" s="1" t="s">
        <v>75</v>
      </c>
      <c r="B21" s="1" t="s">
        <v>43</v>
      </c>
      <c r="C21" s="1" t="s">
        <v>76</v>
      </c>
      <c r="D21" s="1" t="s">
        <v>12</v>
      </c>
      <c r="E21" s="1" t="s">
        <v>77</v>
      </c>
      <c r="F21" s="1" t="s">
        <v>78</v>
      </c>
      <c r="G21" s="2">
        <v>45904</v>
      </c>
      <c r="H21" s="1">
        <v>54000</v>
      </c>
      <c r="I21" s="1">
        <v>87</v>
      </c>
      <c r="J21" s="1" t="str">
        <f t="shared" si="0"/>
        <v>Anita Verma</v>
      </c>
      <c r="K21" s="1"/>
    </row>
    <row r="22" spans="1:11" x14ac:dyDescent="0.3">
      <c r="A22" s="1" t="s">
        <v>79</v>
      </c>
      <c r="B22" s="1" t="s">
        <v>32</v>
      </c>
      <c r="C22" s="1" t="s">
        <v>80</v>
      </c>
      <c r="D22" s="1" t="s">
        <v>34</v>
      </c>
      <c r="E22" s="1" t="s">
        <v>81</v>
      </c>
      <c r="F22" s="1" t="s">
        <v>82</v>
      </c>
      <c r="G22" s="2">
        <v>45905</v>
      </c>
      <c r="H22" s="1">
        <v>71000</v>
      </c>
      <c r="I22" s="1">
        <v>89</v>
      </c>
      <c r="J22" s="1" t="str">
        <f t="shared" si="0"/>
        <v>Arun Sharma</v>
      </c>
      <c r="K22" s="1"/>
    </row>
    <row r="23" spans="1:11" x14ac:dyDescent="0.3">
      <c r="A23" s="1" t="s">
        <v>83</v>
      </c>
      <c r="B23" s="1" t="s">
        <v>16</v>
      </c>
      <c r="C23" s="1" t="s">
        <v>84</v>
      </c>
      <c r="D23" s="1" t="s">
        <v>18</v>
      </c>
      <c r="E23" s="1" t="s">
        <v>85</v>
      </c>
      <c r="F23" s="1" t="s">
        <v>86</v>
      </c>
      <c r="G23" s="2">
        <v>45906</v>
      </c>
      <c r="H23" s="1">
        <v>49000</v>
      </c>
      <c r="I23" s="1">
        <v>80</v>
      </c>
      <c r="J23" s="1" t="str">
        <f t="shared" si="0"/>
        <v>Vijay Rao</v>
      </c>
      <c r="K23" s="1"/>
    </row>
    <row r="24" spans="1:11" x14ac:dyDescent="0.3">
      <c r="A24" s="1" t="s">
        <v>87</v>
      </c>
      <c r="B24" s="1" t="s">
        <v>38</v>
      </c>
      <c r="C24" s="1" t="s">
        <v>88</v>
      </c>
      <c r="D24" s="1" t="s">
        <v>24</v>
      </c>
      <c r="E24" s="1" t="s">
        <v>89</v>
      </c>
      <c r="F24" s="1" t="s">
        <v>90</v>
      </c>
      <c r="G24" s="2">
        <v>45907</v>
      </c>
      <c r="H24" s="1">
        <v>64000</v>
      </c>
      <c r="I24" s="1">
        <v>93</v>
      </c>
      <c r="J24" s="1" t="str">
        <f t="shared" si="0"/>
        <v>Meera Iyer</v>
      </c>
      <c r="K24" s="1"/>
    </row>
    <row r="25" spans="1:11" x14ac:dyDescent="0.3">
      <c r="A25" s="1" t="s">
        <v>91</v>
      </c>
      <c r="B25" s="1" t="s">
        <v>10</v>
      </c>
      <c r="C25" s="1" t="s">
        <v>92</v>
      </c>
      <c r="D25" s="1" t="s">
        <v>12</v>
      </c>
      <c r="E25" s="1" t="s">
        <v>93</v>
      </c>
      <c r="F25" s="1" t="s">
        <v>94</v>
      </c>
      <c r="G25" s="2">
        <v>45908</v>
      </c>
      <c r="H25" s="1">
        <v>56000</v>
      </c>
      <c r="I25" s="1">
        <v>84</v>
      </c>
      <c r="J25" s="1" t="str">
        <f t="shared" si="0"/>
        <v>Anita Verma</v>
      </c>
      <c r="K25" s="1"/>
    </row>
    <row r="26" spans="1:11" x14ac:dyDescent="0.3">
      <c r="A26" s="1" t="s">
        <v>95</v>
      </c>
      <c r="B26" s="1" t="s">
        <v>32</v>
      </c>
      <c r="C26" s="1" t="s">
        <v>96</v>
      </c>
      <c r="D26" s="1" t="s">
        <v>34</v>
      </c>
      <c r="E26" s="1" t="s">
        <v>97</v>
      </c>
      <c r="F26" s="1" t="s">
        <v>98</v>
      </c>
      <c r="G26" s="2">
        <v>45909</v>
      </c>
      <c r="H26" s="1">
        <v>73000</v>
      </c>
      <c r="I26" s="1">
        <v>90</v>
      </c>
      <c r="J26" s="1" t="str">
        <f t="shared" si="0"/>
        <v>Arun Sharma</v>
      </c>
      <c r="K2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7436-D054-4167-BB64-85868426C772}">
  <dimension ref="A1:D19"/>
  <sheetViews>
    <sheetView workbookViewId="0">
      <selection activeCell="B26" sqref="B26"/>
    </sheetView>
  </sheetViews>
  <sheetFormatPr defaultRowHeight="14.4" x14ac:dyDescent="0.3"/>
  <cols>
    <col min="2" max="2" width="40.5546875" customWidth="1"/>
    <col min="3" max="3" width="55.6640625" customWidth="1"/>
    <col min="4" max="4" width="56" customWidth="1"/>
  </cols>
  <sheetData>
    <row r="1" spans="1:4" ht="186.75" customHeight="1" x14ac:dyDescent="0.3">
      <c r="A1" s="36" t="s">
        <v>144</v>
      </c>
      <c r="B1" s="37"/>
      <c r="C1" s="37"/>
      <c r="D1" s="31" t="s">
        <v>145</v>
      </c>
    </row>
    <row r="2" spans="1:4" ht="23.4" x14ac:dyDescent="0.3">
      <c r="A2" s="32"/>
      <c r="B2" s="32"/>
      <c r="C2" s="32"/>
      <c r="D2" s="10"/>
    </row>
    <row r="3" spans="1:4" x14ac:dyDescent="0.3">
      <c r="D3" s="10"/>
    </row>
    <row r="4" spans="1:4" x14ac:dyDescent="0.3">
      <c r="D4" s="10"/>
    </row>
    <row r="5" spans="1:4" x14ac:dyDescent="0.3">
      <c r="A5" s="5" t="s">
        <v>1</v>
      </c>
      <c r="B5" s="4" t="s">
        <v>146</v>
      </c>
      <c r="C5" s="4" t="s">
        <v>147</v>
      </c>
    </row>
    <row r="6" spans="1:4" x14ac:dyDescent="0.3">
      <c r="A6" s="2" t="s">
        <v>10</v>
      </c>
      <c r="B6" s="1" t="s">
        <v>148</v>
      </c>
      <c r="C6" s="1">
        <v>1200</v>
      </c>
    </row>
    <row r="7" spans="1:4" x14ac:dyDescent="0.3">
      <c r="A7" s="2" t="s">
        <v>16</v>
      </c>
      <c r="B7" s="1" t="s">
        <v>149</v>
      </c>
      <c r="C7" s="1">
        <v>900</v>
      </c>
    </row>
    <row r="8" spans="1:4" x14ac:dyDescent="0.3">
      <c r="A8" s="2" t="s">
        <v>22</v>
      </c>
      <c r="B8" s="1" t="s">
        <v>150</v>
      </c>
      <c r="C8" s="1">
        <v>1500</v>
      </c>
    </row>
    <row r="9" spans="1:4" x14ac:dyDescent="0.3">
      <c r="A9" s="2" t="s">
        <v>32</v>
      </c>
      <c r="B9" s="1" t="s">
        <v>151</v>
      </c>
      <c r="C9" s="1">
        <v>2000</v>
      </c>
    </row>
    <row r="10" spans="1:4" x14ac:dyDescent="0.3">
      <c r="A10" s="2" t="s">
        <v>38</v>
      </c>
      <c r="B10" s="1" t="s">
        <v>152</v>
      </c>
      <c r="C10" s="1">
        <v>1100</v>
      </c>
    </row>
    <row r="11" spans="1:4" x14ac:dyDescent="0.3">
      <c r="A11" s="2" t="s">
        <v>43</v>
      </c>
      <c r="B11" s="1" t="s">
        <v>153</v>
      </c>
      <c r="C11" s="1">
        <v>800</v>
      </c>
    </row>
    <row r="13" spans="1:4" ht="32.25" customHeight="1" x14ac:dyDescent="0.3">
      <c r="B13" s="16" t="s">
        <v>154</v>
      </c>
    </row>
    <row r="14" spans="1:4" ht="36.75" customHeight="1" x14ac:dyDescent="0.3">
      <c r="A14" s="11"/>
      <c r="B14" s="17" t="s">
        <v>155</v>
      </c>
      <c r="C14" s="11"/>
      <c r="D14" s="11"/>
    </row>
    <row r="15" spans="1:4" ht="48" customHeight="1" x14ac:dyDescent="0.3">
      <c r="A15" s="12"/>
      <c r="B15" s="18" t="s">
        <v>156</v>
      </c>
      <c r="C15" s="14"/>
      <c r="D15" s="14"/>
    </row>
    <row r="16" spans="1:4" x14ac:dyDescent="0.3">
      <c r="B16" s="13"/>
    </row>
    <row r="19" spans="2:2" x14ac:dyDescent="0.3">
      <c r="B19" s="10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date and time</vt:lpstr>
      <vt:lpstr>hlookup</vt:lpstr>
      <vt:lpstr>vlookup</vt:lpstr>
      <vt:lpstr>xlookup</vt:lpstr>
      <vt:lpstr>index and match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Geetha G</cp:lastModifiedBy>
  <cp:revision/>
  <dcterms:created xsi:type="dcterms:W3CDTF">2025-08-24T15:02:45Z</dcterms:created>
  <dcterms:modified xsi:type="dcterms:W3CDTF">2025-09-27T10:41:23Z</dcterms:modified>
  <cp:category/>
  <cp:contentStatus/>
</cp:coreProperties>
</file>